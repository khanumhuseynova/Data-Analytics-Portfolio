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huseynovaXD\Desktop\DATA ANALİTİKA\"/>
    </mc:Choice>
  </mc:AlternateContent>
  <xr:revisionPtr revIDLastSave="0" documentId="13_ncr:1_{1633B7C9-4E7B-4121-BE5E-312016FDAC57}" xr6:coauthVersionLast="47" xr6:coauthVersionMax="47" xr10:uidLastSave="{00000000-0000-0000-0000-000000000000}"/>
  <bookViews>
    <workbookView xWindow="3768" yWindow="0" windowWidth="19284" windowHeight="12336" xr2:uid="{00000000-000D-0000-FFFF-FFFF00000000}"/>
  </bookViews>
  <sheets>
    <sheet name="Statistika Tapşırıqları" sheetId="1" r:id="rId1"/>
    <sheet name="sual12" sheetId="2" r:id="rId2"/>
    <sheet name="sual13" sheetId="3" r:id="rId3"/>
    <sheet name="sual14"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4" i="1" l="1"/>
  <c r="K57" i="1"/>
  <c r="K56" i="1"/>
  <c r="D6" i="4"/>
  <c r="E6" i="4"/>
  <c r="C6" i="4"/>
  <c r="B6" i="4"/>
  <c r="A6" i="4"/>
  <c r="B20" i="3"/>
  <c r="B18" i="3"/>
  <c r="C13" i="3"/>
  <c r="C12" i="3"/>
  <c r="B6" i="3"/>
  <c r="A6" i="3"/>
  <c r="F3" i="2"/>
  <c r="E3" i="2"/>
  <c r="B3" i="2"/>
  <c r="C3" i="2"/>
  <c r="C15" i="1"/>
  <c r="C6" i="3" l="1"/>
  <c r="D6" i="3" s="1"/>
  <c r="D3" i="2"/>
  <c r="E6" i="3" l="1"/>
</calcChain>
</file>

<file path=xl/sharedStrings.xml><?xml version="1.0" encoding="utf-8"?>
<sst xmlns="http://schemas.openxmlformats.org/spreadsheetml/2006/main" count="176" uniqueCount="163">
  <si>
    <t>Data Analitika — Statistika Tapşırıqları</t>
  </si>
  <si>
    <t>Korrelyasiya &amp; Kauzasiya · Outlier (IQR) · Pilot Prosesi</t>
  </si>
  <si>
    <t>Ad, Soyad: HÜSEYNOVA XANIM   Tarix: __________   Bal: ______ / ______</t>
  </si>
  <si>
    <t>№</t>
  </si>
  <si>
    <t>Sual</t>
  </si>
  <si>
    <t>Cavab</t>
  </si>
  <si>
    <t>1. Korrelyasiya və Kauzasiya</t>
  </si>
  <si>
    <t>1</t>
  </si>
  <si>
    <t>Aşağıdakı cümlələrdən hansı sadəcə korrelyasiya, hansı əsl səbəb-nəticə (kauzasiya) bildirir? Hər birini bir cümlə ilə əsaslandır:</t>
  </si>
  <si>
    <t>a)</t>
  </si>
  <si>
    <t>Şəhərdə kitabxana sayı çox olan rayonlarda cinayət də çoxdur.</t>
  </si>
  <si>
    <t>Sadəcə əhali sayı çoxdu- korrelyasiya</t>
  </si>
  <si>
    <t>b)</t>
  </si>
  <si>
    <t>Daha çox su içən insanların dərisi daha sağlam görünür.</t>
  </si>
  <si>
    <t>Sadəcə sağlam dəriyə səbəblərdən biridi, birbaşa sağlan gürüntüyə səbəb deyil- korrelyasiya</t>
  </si>
  <si>
    <t>c)</t>
  </si>
  <si>
    <t>Saytın yüklənmə sürəti artanda istifadəçilərin tərk etmə nisbəti azalır.</t>
  </si>
  <si>
    <t>2</t>
  </si>
  <si>
    <t>Yuxarıdakı kitabxana–cinayət nümunəsində hər iki göstəricini eyni anda artıran gizli (üçüncü) dəyişən nə ola bilər? İzah et.</t>
  </si>
  <si>
    <t>Sadəcə əhali artıb</t>
  </si>
  <si>
    <t>3</t>
  </si>
  <si>
    <t>Bir analitik deyir: «Dəbilqə taxan velosipedçilər arasında qəza çoxdur, deməli dəbilqə qəzaya səbəb olur.» Bu nəticədəki məntiqi səhv haradadır?</t>
  </si>
  <si>
    <t>4</t>
  </si>
  <si>
    <t>Excel-də CORREL() funksiyası ilə iki sütun arasında korrelyasiya əmsalını hesabla:
Reklam xərci: 100, 150, 200, 250, 300, 350
Satış: 1200, 1300, 1450, 1600, 1700, 1900</t>
  </si>
  <si>
    <t>Korrelyasiya əmsalını (r) tap.</t>
  </si>
  <si>
    <t>Nəticə +1-ə yaxındır, mənfidir, yoxsa sıfıra yaxın? Şərh et.</t>
  </si>
  <si>
    <t>+1Ə yaxındır yəniki reklam çox olanda satışda çox olur</t>
  </si>
  <si>
    <t>Bu korrelyasiya «reklam satışın səbəbidir» deməyə kifayət edirmi? Niyə?</t>
  </si>
  <si>
    <t>Xeyr etmir. Sebeb movsum de ola biler, reklamlar ve kompaniyalar da ola bilər</t>
  </si>
  <si>
    <t>5</t>
  </si>
  <si>
    <t>6</t>
  </si>
  <si>
    <t>Bir-biri ilə real əlaqəsi olmadığı halda təsadüfən korrelyasiya verə biləcək iki göstəriciyə özündən bir nümunə yaz (spurious correlation).</t>
  </si>
  <si>
    <t>Dondurma satışı artanda kredit sayı da artır- əslində olan burda 3cü gizli səbəb yay ayıdı. Yayda xərclər çox olur deyə kredit verilməsi çoxalır. Yaydı deyə dondurma satışı çoxalır</t>
  </si>
  <si>
    <t>7</t>
  </si>
  <si>
    <t>Excel-də CORREL() ilə aşağıdakı məlumatda korrelyasiyanı hesabla və işarəsini (müsbət/mənfi) şərh et:
Məhsulun qiyməti: 5, 7, 9, 11, 13, 15
Satılan ədəd: 200, 170, 150, 120, 90, 60</t>
  </si>
  <si>
    <t>8</t>
  </si>
  <si>
    <t>İki dəyişən üçün korrelyasiya əmsalı r = -0. Bu nəyi göstərir? Bir göstərici artanda digəri necə dəyişir?</t>
  </si>
  <si>
    <t>Demək olarkı dəyişmir. əlaqə demək olarki yoxdu</t>
  </si>
  <si>
    <t>9</t>
  </si>
  <si>
    <t>Bir analitik r = 0 alıb və «bu iki dəyişən arasında heç bir əlaqə yoxdur» deyir. Bu fikir həmişə doğrudurmu? (Xətti olmayan əlaqə anlayışını qısa izah et.)</t>
  </si>
  <si>
    <t>Non-linear əlaqə o deməkdiki 2 dəyişən arasında xətti əlaqə yoxdu. Bəzi aralıqlarda dəyişənlər birlikdə arta, başqa aralıqlarda isə biri artarkən digəri azala bilər. Lakin nəticə yenə də 0dır. R=0 -o demək deyilki heç bir əlaqə yoxdu. Var, lakin xətti əlaqə yoxdur.</t>
  </si>
  <si>
    <t>2. Outlier və IQR Metodu (Excel)</t>
  </si>
  <si>
    <t>10</t>
  </si>
  <si>
    <t>Outlier nədir? Statistik təhlildə niyə problem yaradır? Ən azı 2 səbəb yaz.</t>
  </si>
  <si>
    <t>Bütün dəyərlərdən tamam fərqli olan dəyərdir (az vəya çox). Qurulan chartlara təsir edir deyə biz xəttlərin əslində necə olduğunu düzgün analıiz edə bilmirik, və ya average-I səhv tapa bilirik outlier olanda</t>
  </si>
  <si>
    <t>11</t>
  </si>
  <si>
    <t>Aşağıdakı göstəricilərdən hansılar outlier-a həssasdır, hansıları yox? İşarələ: orta (AVERAGE), median (MEDIAN), mode, range, IQR.</t>
  </si>
  <si>
    <t>orta (AVERAGE), range</t>
  </si>
  <si>
    <t>12</t>
  </si>
  <si>
    <t>Aşağıdakı məlumat dəstində IQR metodu ilə outlier-ı tap. Addımları Excel funksiyaları ilə göstər:
12, 15, 14, 10, 18, 16, 13, 15, 14, 95, 11, 17</t>
  </si>
  <si>
    <t>d)</t>
  </si>
  <si>
    <t>Q1 = QUARTILE(aralıq; 1), Q3 = QUARTILE(aralıq; 3)</t>
  </si>
  <si>
    <t>e)</t>
  </si>
  <si>
    <t>IQR = Q3 − Q1</t>
  </si>
  <si>
    <t>f)</t>
  </si>
  <si>
    <t>Aşağı sərhəd = Q1 − 1.5 × IQR, Yuxarı sərhəd = Q3 + 1.5 × IQR</t>
  </si>
  <si>
    <t>g)</t>
  </si>
  <si>
    <t>Sərhədlərdən kənarda qalan dəyər(lər)i göstər.</t>
  </si>
  <si>
    <t>13</t>
  </si>
  <si>
    <t>Mağazanın gündəlik satışı (AZN):
220, 240, 235, 250, 245, 230, 1200, 225, 255, 238, 242, 248</t>
  </si>
  <si>
    <t>h)</t>
  </si>
  <si>
    <t>IQR metodu ilə outlier-ı tap.</t>
  </si>
  <si>
    <t>i)</t>
  </si>
  <si>
    <t>AVERAGE() ilə outlier silinməzdən əvvəl və sonra ortanı hesabla. Fərqi şərh et.</t>
  </si>
  <si>
    <t>j)</t>
  </si>
  <si>
    <t>MEDIAN() bu halda ortadan niyə daha etibarlıdır?</t>
  </si>
  <si>
    <t>14</t>
  </si>
  <si>
    <t>İmtahan nəticələri:
72, 68, 75, 70, 74, 69, 12, 71, 73, 70</t>
  </si>
  <si>
    <t>k)</t>
  </si>
  <si>
    <t>l)</t>
  </si>
  <si>
    <t>Bu outlier real nəticədir, yoxsa data quality problemi ola bilər? Şərh et.</t>
  </si>
  <si>
    <t>15</t>
  </si>
  <si>
    <t>Excel-də bir dəyərin outlier olub-olmadığını yoxlayan IF düsturu yaz. Aşağı sərhəd A1, yuxarı sərhəd A2, yoxlanan dəyər B1-dədir; nəticə «Outlier» və ya «Normal» olsun.</t>
  </si>
  <si>
    <t>16</t>
  </si>
  <si>
    <t>Bir şirkətin maaş məlumatında CEO-nun maaşı qalanlardan qat-qat yüksəkdir. Bu outlier-ı silərdin, saxlayardın, yoxsa ayrıca qeyd edərdin? Qərarını əsaslandır.</t>
  </si>
  <si>
    <t>17</t>
  </si>
  <si>
    <t>Pilot nədir? Bir dəyişikliyi (yeni dizayn, kampaniya, məhsul) bütün müştərilərə tətbiq etməzdən əvvəl niyə əvvəlcə pilot edirik? Ən azı 2 səbəb yaz.</t>
  </si>
  <si>
    <t>18</t>
  </si>
  <si>
    <t>Pilot prosesinin əsas addımlarını düzgün ardıcıllıqla yaz (sənin keçdiyin prosesi öz sözlərinlə təsvir et).</t>
  </si>
  <si>
    <t>19</t>
  </si>
  <si>
    <t>Bir bank yeni mobil tətbiq dizaynını sınamaq istəyir. Bu dəyişiklik üçün pilot planı qur:</t>
  </si>
  <si>
    <t>m)</t>
  </si>
  <si>
    <t>Pilot qrupunu necə seçərdin (kimə, neçə nəfərə)?</t>
  </si>
  <si>
    <t>n)</t>
  </si>
  <si>
    <t>Hansı göstəricini (metric) ölçərdin?</t>
  </si>
  <si>
    <t>o)</t>
  </si>
  <si>
    <t>Pilotun uğurlu sayılması üçün nəyi gözləyərdin?</t>
  </si>
  <si>
    <t>20</t>
  </si>
  <si>
    <t>Pilot zamanı dəyişikliyi alan qrupla onu almayan (nəzarət / control) qrupu müqayisə etmək niyə vacibdir?</t>
  </si>
  <si>
    <t>21</t>
  </si>
  <si>
    <t>Excel tapşırığı — pilot qrupun nəticəsini nəzarət qrupu ilə müqayisə et. Hər müştərinin gündəlik orta xərci (AZN):
Nəzarət qrupu (köhnə): 45, 50, 48, 52, 47, 49
Pilot qrupu (yeni): 55, 58, 53, 60, 57, 59</t>
  </si>
  <si>
    <t>p)</t>
  </si>
  <si>
    <t>AVERAGE() ilə hər qrupun ortasını hesabla.</t>
  </si>
  <si>
    <t>q)</t>
  </si>
  <si>
    <t>Pilot qrupun ortası nəzarət qrupundan nə qədər yüksəkdir (fərq və faiz)?</t>
  </si>
  <si>
    <t>r)</t>
  </si>
  <si>
    <t>Bu nəticəyə əsasən yeni dizaynı bütün müştərilərə tətbiq edərdinmi? Niyə?</t>
  </si>
  <si>
    <t>22</t>
  </si>
  <si>
    <t>Səhvi tap: Bir analitik pilotu cəmi 5 nəfərə, özü də yalnız öz dostlarına tətbiq edib və «dizayn əladır, hamıya açaq» deyir. Bu pilotun nəyi səhvdir?</t>
  </si>
  <si>
    <t>23</t>
  </si>
  <si>
    <t>Pilotun nəticəsinə güvənmək üçün nələr vacibdir? Pilot qrupun ölçüsü, müddəti və seçilmə üsulu nəticəyə necə təsir edir? Qısa izah et.</t>
  </si>
  <si>
    <t>24</t>
  </si>
  <si>
    <t>Bir kampaniyanın pilotunda iki göstərici var: (a) reklamı görənlərin sayı, (b) reklamdan sonra məhsul alanların sayı. Pilotun uğurunu ölçmək üçün hansı göstərici daha mənalıdır? Niyə?</t>
  </si>
  <si>
    <t>25</t>
  </si>
  <si>
    <t>Pilot nəticəsi: pilot qrupda satış 2% artıb, lakin nəzarət qrupda da satış elə həmin dövrdə 2% artıb. Bu dəyişikliyi tam tətbiq edərdinmi? Səbəbini yaz.</t>
  </si>
  <si>
    <t>Dəbilqə birbaşa qəzaya səbəb olmur sadəcə dəqbilqə taxanlar ona güvənərək sürəti artırır+  dəbilqə əsasən yağışlı və sürətli yollarda taxılır</t>
  </si>
  <si>
    <t>R=-0.99844
Mənfidir- yəniki satılan ədəd çoxaldıqca məhsul qiymeti çoxalmır, tərs əlaqə var</t>
  </si>
  <si>
    <t>Korrelyasiya əmsalını (r) qruplaşdır — zəif / orta / güclü:
0.1 - zəif
-0.85 - zəif 
0.45 - orta
0.95 - güclü
-0.2 - zəif</t>
  </si>
  <si>
    <t xml:space="preserve">0.1 - zəif
-0.85 - güclü (tərs ammaki güclü əlaqə var)
0.45 - orta
0.95 - güclü
-0.2 - zəif            </t>
  </si>
  <si>
    <t xml:space="preserve">
12</t>
  </si>
  <si>
    <t>Q1</t>
  </si>
  <si>
    <t>Q3</t>
  </si>
  <si>
    <t>IQR</t>
  </si>
  <si>
    <t>LOW BOUN</t>
  </si>
  <si>
    <t>UPPER BOUN</t>
  </si>
  <si>
    <t>OUTLIER</t>
  </si>
  <si>
    <t>2CI SƏHİFƏDƏ</t>
  </si>
  <si>
    <t>İQR=Q3-Q1    
LOW BOUNDARY=Q1-1.5*IQR   
UPPER BOUN=Q3+IQR*1.5</t>
  </si>
  <si>
    <t>Aşağıdakı məlumat dəstində
IQR metodu ilə outlier-ı tap.  
Addımları Excel funksiyaları ilə göstər:</t>
  </si>
  <si>
    <t>13. Mağazanın gündəlik satışı (AZN)</t>
  </si>
  <si>
    <t>Satış (AZN):</t>
  </si>
  <si>
    <t>Aşağı sərhəd</t>
  </si>
  <si>
    <t>Yuxarı sərhəd</t>
  </si>
  <si>
    <t>h) IQR metodu ilə outlier-ı tap:</t>
  </si>
  <si>
    <t>Outlier dəyər(lər):</t>
  </si>
  <si>
    <t>i) AVERAGE() — outlier ilə / outlier-siz:</t>
  </si>
  <si>
    <t>Ortalama (bütün data ilə, outlier daxil):</t>
  </si>
  <si>
    <t>Ortalama (outlier çıxarılandan sonra):</t>
  </si>
  <si>
    <t>Fərq / şərh:</t>
  </si>
  <si>
    <t>14. İmtahan nəticələri</t>
  </si>
  <si>
    <t>Nəticələr:</t>
  </si>
  <si>
    <t>k) IQR metodu ilə outlier-ı tap:</t>
  </si>
  <si>
    <t>l) Bu outlier real nəticədir, yoxsa data quality problemi ola bilər? Şərh et:</t>
  </si>
  <si>
    <t>outlier</t>
  </si>
  <si>
    <t>əvvəl outlier olduğuna görə nəticə çox çıxdı və bu bizi yanıldır ortalamada. Outlierden sonra nəticə dəyişdi</t>
  </si>
  <si>
    <t>j)MEDIAN() bu halda ortadan 
niyə daha etibarlıdır?</t>
  </si>
  <si>
    <t>median outlierden tesirlenmir. Hər bir halda demək olarki eyni qalır</t>
  </si>
  <si>
    <t>MEDİAN (outlier çıxarılandan sonra):</t>
  </si>
  <si>
    <t>MEDİAN (outlier İLƏ):</t>
  </si>
  <si>
    <t>Həm real nəticə ola bilər-tələbə imtahana hazırlaşmayıb həm də quality problemi də ola bilər-bəlkə müəllim səhv köçürüb. Tələbənin imtahan vərəqinə baxıb dəqiqləşdirmək olar</t>
  </si>
  <si>
    <t>LOW BOUND=Q1-1.5*IQR,
UPPER BOUND=Q3+1.5*IQR
IF(OR(B1&lt;A1; B1&gt;A2); "Outlier", "Normal")</t>
  </si>
  <si>
    <t>3CU SƏHİFƏDƏ</t>
  </si>
  <si>
    <t>4CU SƏHİFƏDƏ</t>
  </si>
  <si>
    <t>AYRICA QEYD EDİB ARAŞDIRARDIM. Outlier də ola bilər olmayada bilər. Çünki ceo maaşı ilə ortalama hesablansa səhv nəticə əldə edəcəm. Ceo maaşı yuxarı ola bilər şirkətlərdə. Ona görə də ayrıca qeyd edib araşdırardım</t>
  </si>
  <si>
    <t>Nəzarət</t>
  </si>
  <si>
    <t>Pilot</t>
  </si>
  <si>
    <t>nəzarət=48.5 pilot=57</t>
  </si>
  <si>
    <t>hem oz dostlarina həmdəki az insana tetbiq etmesi</t>
  </si>
  <si>
    <t>deyishlik demek olarki yoxdu. Ona gorede yeni lahiyeni tetbiq etmek lazim deyil</t>
  </si>
  <si>
    <t>ciddi bir ferq yoxdur arada</t>
  </si>
  <si>
    <t>3. Pilot Prosesi (Test)+A44:C55A44:C54</t>
  </si>
  <si>
    <t>8.5 fərq. Faiz- 17.52</t>
  </si>
  <si>
    <t>beli tetbiq ederdim. 17.52 pis nəticə deyil(yenə də lahiyə üçün düşürərdim daha da təkminləşdirməyİ)</t>
  </si>
  <si>
    <t>1. pilot müştərini seçmək
2. lahiyeni yanlız həmin müştərilərə açıq qoymaq
3. müddət təyin etmək
4. prosses ərzində pilot və adi müştərilərin nəticələrini izləmək
5. sonra nəticələri analiz etmək
5. nəticə faizi yaxşı olsa yeni lahiyeni bütün müştərilərə tətbiq etmək</t>
  </si>
  <si>
    <t xml:space="preserve"> (b) reklamdan sonra məhsul alanların sayı- əsas bizə lazımdır nə qədər insan məhsul alıb, nə qədər insana bizim lahiyə maraqlı olub</t>
  </si>
  <si>
    <t>pilot- SINAQ lahiyəsi demək olar. Yoxlanış üçün müəyyən qrup insan uzerində yoxlanılır. Çünki müştərilər bu lahiyeni bəyənməyədə bilər, buna görə həm müştəri məmnuniyyəti həmdəki maddi cəhətdən pilot test-sınaq lahiyələrə üstünlük verilir</t>
  </si>
  <si>
    <t>testdə olan müştərilərlə adi müştəriləri müqayisə edərdim. Metric gostericiler- sayta daxil olma, alış, tetbiqde keçirilen zaman və sair- bunlar testde olan müştərilərdə daha çox olmalıdı</t>
  </si>
  <si>
    <t>testdə olan müştərilərlə adi müştəriləri müqayisə edəndə çıxan nəticələr testdə olan müştərilərdə yaxşı olsa. Məsələn tesdə olan müştərilər bizim məhsullardan daha çox sifariş etsə, login sayı daha çox olsa, alış və vaxt keçirmə çox olsa- ugurlu hesab oluna bilər</t>
  </si>
  <si>
    <t>Pilot qrupunu düzgün seçmək, sayını ümumi müştəri sayına uyğun müəyyənləşdirmək, pilot müddətini düzgün təyin etmək və proses ərzində həm pilot, həm də nəzarət qrupunu diqqətlə izləmək lazımdır.</t>
  </si>
  <si>
    <t>1.ilk lahiyə haqqında düşünmək- əsas mənə nə lazımdı niyə bu lahiyəni basladıram, ugurlu nəticə mənim ücün nədi
2.sınaq keçirəcəyim test üçün olan insan qrupunu seçmək
3. bu pilot lahiyeni sınaqda olab müştərilərə tətbiq etmək
4.sınaqda olan müştəri və normal müştərilərin datasını daimi izləmək
5. hər iki nəticəni analiz edin nəticə çıxarmaq</t>
  </si>
  <si>
    <t>tək səbəb bu olmaya bilər. Ona görədə korrelyasiya-dır.</t>
  </si>
  <si>
    <t>Müxtəlif yaş və müştəri qruplarından təsadüfi (məsələn-təxmini 2000)seçilmiş istifadəçilər.</t>
  </si>
  <si>
    <t>pilot lahiyemin ugurlu olub olmamasini bilmek ucun vacibdir. Əsas faizi bilmək üçün. Nələrdə dəyişiklik etsək yaxsı olar bunu bilmek üçün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</si>
</sst>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4"/>
      <name val="Arial"/>
      <family val="2"/>
    </font>
    <font>
      <i/>
      <sz val="10"/>
      <color rgb="FF555555"/>
      <name val="Arial"/>
      <family val="2"/>
    </font>
    <font>
      <sz val="10"/>
      <name val="Arial"/>
      <family val="2"/>
    </font>
    <font>
      <b/>
      <sz val="10"/>
      <name val="Arial"/>
      <family val="2"/>
    </font>
    <font>
      <b/>
      <sz val="12"/>
      <color rgb="FFFFFFFF"/>
      <name val="Arial"/>
      <family val="2"/>
    </font>
    <font>
      <sz val="11"/>
      <color rgb="FFFF0000"/>
      <name val="Calibri"/>
      <family val="2"/>
      <scheme val="minor"/>
    </font>
    <font>
      <b/>
      <sz val="10"/>
      <color rgb="FFFF0000"/>
      <name val="Arial"/>
      <family val="2"/>
    </font>
    <font>
      <b/>
      <sz val="12"/>
      <color rgb="FFFF0000"/>
      <name val="Arial"/>
      <family val="2"/>
    </font>
    <font>
      <sz val="10"/>
      <color rgb="FFFF0000"/>
      <name val="Arial"/>
      <family val="2"/>
    </font>
    <font>
      <b/>
      <sz val="13"/>
      <name val="Arial"/>
      <family val="2"/>
    </font>
    <font>
      <b/>
      <sz val="10"/>
      <color rgb="FFFFFFFF"/>
      <name val="Arial"/>
      <family val="2"/>
    </font>
    <font>
      <i/>
      <sz val="9"/>
      <color rgb="FF777777"/>
      <name val="Arial"/>
      <family val="2"/>
    </font>
    <font>
      <sz val="9"/>
      <color theme="1"/>
      <name val="Cambria"/>
      <family val="1"/>
      <scheme val="major"/>
    </font>
  </fonts>
  <fills count="5">
    <fill>
      <patternFill patternType="none"/>
    </fill>
    <fill>
      <patternFill patternType="gray125"/>
    </fill>
    <fill>
      <patternFill patternType="solid">
        <fgColor rgb="FFD9E1F2"/>
      </patternFill>
    </fill>
    <fill>
      <patternFill patternType="solid">
        <fgColor rgb="FF4472C4"/>
      </patternFill>
    </fill>
    <fill>
      <patternFill patternType="solid">
        <fgColor rgb="FFFFFF00"/>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35">
    <xf numFmtId="0" fontId="0" fillId="0" borderId="0" xfId="0"/>
    <xf numFmtId="0" fontId="3" fillId="0" borderId="0" xfId="0" applyFont="1" applyAlignment="1">
      <alignment vertical="top" wrapText="1"/>
    </xf>
    <xf numFmtId="0" fontId="4" fillId="2" borderId="0" xfId="0" applyFont="1" applyFill="1" applyAlignment="1">
      <alignment horizontal="center" vertical="center"/>
    </xf>
    <xf numFmtId="0" fontId="5" fillId="3" borderId="0" xfId="0" applyFont="1" applyFill="1" applyAlignment="1">
      <alignment vertical="center"/>
    </xf>
    <xf numFmtId="0" fontId="3" fillId="0" borderId="0" xfId="0" applyFont="1" applyAlignment="1">
      <alignment horizontal="center" vertical="top"/>
    </xf>
    <xf numFmtId="0" fontId="7" fillId="2" borderId="0" xfId="0" applyFont="1" applyFill="1" applyAlignment="1">
      <alignment horizontal="center" vertical="center"/>
    </xf>
    <xf numFmtId="0" fontId="8" fillId="3" borderId="0" xfId="0" applyFont="1" applyFill="1" applyAlignment="1">
      <alignment vertical="center"/>
    </xf>
    <xf numFmtId="0" fontId="9" fillId="0" borderId="0" xfId="0" applyFont="1" applyAlignment="1">
      <alignment vertical="top" wrapText="1"/>
    </xf>
    <xf numFmtId="0" fontId="6" fillId="0" borderId="0" xfId="0" applyFont="1"/>
    <xf numFmtId="0" fontId="0" fillId="0" borderId="0" xfId="0" applyAlignment="1">
      <alignment wrapText="1"/>
    </xf>
    <xf numFmtId="0" fontId="0" fillId="4" borderId="0" xfId="0" applyFill="1"/>
    <xf numFmtId="0" fontId="4" fillId="0" borderId="0" xfId="0" applyFont="1"/>
    <xf numFmtId="0" fontId="3" fillId="0" borderId="1" xfId="0" applyFont="1" applyBorder="1"/>
    <xf numFmtId="0" fontId="11" fillId="3" borderId="0" xfId="0" applyFont="1" applyFill="1"/>
    <xf numFmtId="0" fontId="3" fillId="0" borderId="0" xfId="0" applyFont="1"/>
    <xf numFmtId="0" fontId="0" fillId="0" borderId="1" xfId="0" applyBorder="1"/>
    <xf numFmtId="0" fontId="3" fillId="4" borderId="1" xfId="0" applyFont="1" applyFill="1" applyBorder="1"/>
    <xf numFmtId="0" fontId="4" fillId="0" borderId="0" xfId="0" applyFont="1" applyAlignment="1">
      <alignment wrapText="1"/>
    </xf>
    <xf numFmtId="0" fontId="1" fillId="0" borderId="0" xfId="0" applyFont="1" applyAlignment="1">
      <alignment vertical="top"/>
    </xf>
    <xf numFmtId="0" fontId="0" fillId="0" borderId="0" xfId="0"/>
    <xf numFmtId="0" fontId="3" fillId="0" borderId="0" xfId="0" applyFont="1" applyAlignment="1">
      <alignment vertical="top" wrapText="1"/>
    </xf>
    <xf numFmtId="0" fontId="2" fillId="0" borderId="0" xfId="0" applyFont="1" applyAlignment="1">
      <alignment vertical="top" wrapText="1"/>
    </xf>
    <xf numFmtId="0" fontId="10" fillId="0" borderId="0" xfId="0" applyFont="1"/>
    <xf numFmtId="0" fontId="0" fillId="0" borderId="1" xfId="0" applyBorder="1"/>
    <xf numFmtId="0" fontId="0" fillId="0" borderId="2" xfId="0" applyBorder="1"/>
    <xf numFmtId="0" fontId="0" fillId="0" borderId="3" xfId="0" applyBorder="1"/>
    <xf numFmtId="0" fontId="13" fillId="0" borderId="0" xfId="0" applyFont="1"/>
    <xf numFmtId="0" fontId="0" fillId="0" borderId="1" xfId="0" applyBorder="1" applyAlignment="1">
      <alignment wrapText="1"/>
    </xf>
    <xf numFmtId="0" fontId="12" fillId="0" borderId="0" xfId="0" applyFont="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9"/>
  <sheetViews>
    <sheetView tabSelected="1" topLeftCell="A25" workbookViewId="0">
      <selection activeCell="C51" sqref="C51"/>
    </sheetView>
  </sheetViews>
  <sheetFormatPr defaultRowHeight="14.4" x14ac:dyDescent="0.3"/>
  <cols>
    <col min="1" max="1" width="6" customWidth="1"/>
    <col min="2" max="2" width="70" customWidth="1"/>
    <col min="3" max="3" width="55" style="8" customWidth="1"/>
  </cols>
  <sheetData>
    <row r="1" spans="1:3" ht="17.399999999999999" x14ac:dyDescent="0.3">
      <c r="A1" s="18" t="s">
        <v>0</v>
      </c>
      <c r="B1" s="19"/>
      <c r="C1" s="19"/>
    </row>
    <row r="2" spans="1:3" x14ac:dyDescent="0.3">
      <c r="A2" s="21" t="s">
        <v>1</v>
      </c>
      <c r="B2" s="19"/>
      <c r="C2" s="19"/>
    </row>
    <row r="3" spans="1:3" x14ac:dyDescent="0.3">
      <c r="A3" s="20" t="s">
        <v>2</v>
      </c>
      <c r="B3" s="19"/>
      <c r="C3" s="19"/>
    </row>
    <row r="5" spans="1:3" x14ac:dyDescent="0.3">
      <c r="A5" s="2" t="s">
        <v>3</v>
      </c>
      <c r="B5" s="2" t="s">
        <v>4</v>
      </c>
      <c r="C5" s="5" t="s">
        <v>5</v>
      </c>
    </row>
    <row r="6" spans="1:3" ht="15.6" x14ac:dyDescent="0.3">
      <c r="A6" s="3" t="s">
        <v>6</v>
      </c>
      <c r="B6" s="3"/>
      <c r="C6" s="6"/>
    </row>
    <row r="7" spans="1:3" ht="26.4" x14ac:dyDescent="0.3">
      <c r="A7" s="4" t="s">
        <v>7</v>
      </c>
      <c r="B7" s="1" t="s">
        <v>8</v>
      </c>
      <c r="C7" s="7"/>
    </row>
    <row r="8" spans="1:3" x14ac:dyDescent="0.3">
      <c r="A8" s="4" t="s">
        <v>9</v>
      </c>
      <c r="B8" s="1" t="s">
        <v>10</v>
      </c>
      <c r="C8" s="7" t="s">
        <v>11</v>
      </c>
    </row>
    <row r="9" spans="1:3" ht="26.4" x14ac:dyDescent="0.3">
      <c r="A9" s="4" t="s">
        <v>12</v>
      </c>
      <c r="B9" s="1" t="s">
        <v>13</v>
      </c>
      <c r="C9" s="7" t="s">
        <v>14</v>
      </c>
    </row>
    <row r="10" spans="1:3" x14ac:dyDescent="0.3">
      <c r="A10" s="4" t="s">
        <v>15</v>
      </c>
      <c r="B10" s="1" t="s">
        <v>16</v>
      </c>
      <c r="C10" s="7" t="s">
        <v>160</v>
      </c>
    </row>
    <row r="11" spans="1:3" x14ac:dyDescent="0.3">
      <c r="A11" s="4"/>
      <c r="B11" s="1"/>
      <c r="C11" s="7"/>
    </row>
    <row r="12" spans="1:3" ht="26.4" x14ac:dyDescent="0.3">
      <c r="A12" s="4" t="s">
        <v>17</v>
      </c>
      <c r="B12" s="1" t="s">
        <v>18</v>
      </c>
      <c r="C12" s="7" t="s">
        <v>19</v>
      </c>
    </row>
    <row r="13" spans="1:3" ht="39.6" x14ac:dyDescent="0.3">
      <c r="A13" s="4" t="s">
        <v>20</v>
      </c>
      <c r="B13" s="1" t="s">
        <v>21</v>
      </c>
      <c r="C13" s="7" t="s">
        <v>105</v>
      </c>
    </row>
    <row r="14" spans="1:3" ht="39.6" x14ac:dyDescent="0.3">
      <c r="A14" s="4" t="s">
        <v>22</v>
      </c>
      <c r="B14" s="1" t="s">
        <v>23</v>
      </c>
      <c r="C14" s="7"/>
    </row>
    <row r="15" spans="1:3" x14ac:dyDescent="0.3">
      <c r="A15" s="4" t="s">
        <v>9</v>
      </c>
      <c r="B15" s="1" t="s">
        <v>24</v>
      </c>
      <c r="C15" s="7">
        <f>0.995986</f>
        <v>0.99598600000000004</v>
      </c>
    </row>
    <row r="16" spans="1:3" x14ac:dyDescent="0.3">
      <c r="A16" s="4" t="s">
        <v>12</v>
      </c>
      <c r="B16" s="1" t="s">
        <v>25</v>
      </c>
      <c r="C16" s="7" t="s">
        <v>26</v>
      </c>
    </row>
    <row r="17" spans="1:3" ht="26.4" x14ac:dyDescent="0.3">
      <c r="A17" s="4" t="s">
        <v>15</v>
      </c>
      <c r="B17" s="1" t="s">
        <v>27</v>
      </c>
      <c r="C17" s="7" t="s">
        <v>28</v>
      </c>
    </row>
    <row r="18" spans="1:3" x14ac:dyDescent="0.3">
      <c r="A18" s="4"/>
      <c r="B18" s="1"/>
      <c r="C18" s="7"/>
    </row>
    <row r="19" spans="1:3" ht="79.2" x14ac:dyDescent="0.3">
      <c r="A19" s="4" t="s">
        <v>29</v>
      </c>
      <c r="B19" s="1" t="s">
        <v>107</v>
      </c>
      <c r="C19" s="7" t="s">
        <v>108</v>
      </c>
    </row>
    <row r="20" spans="1:3" ht="39.6" x14ac:dyDescent="0.3">
      <c r="A20" s="4" t="s">
        <v>30</v>
      </c>
      <c r="B20" s="1" t="s">
        <v>31</v>
      </c>
      <c r="C20" s="7" t="s">
        <v>32</v>
      </c>
    </row>
    <row r="21" spans="1:3" ht="52.8" x14ac:dyDescent="0.3">
      <c r="A21" s="4" t="s">
        <v>33</v>
      </c>
      <c r="B21" s="1" t="s">
        <v>34</v>
      </c>
      <c r="C21" s="7" t="s">
        <v>106</v>
      </c>
    </row>
    <row r="22" spans="1:3" ht="26.4" x14ac:dyDescent="0.3">
      <c r="A22" s="4" t="s">
        <v>35</v>
      </c>
      <c r="B22" s="1" t="s">
        <v>36</v>
      </c>
      <c r="C22" s="7" t="s">
        <v>37</v>
      </c>
    </row>
    <row r="23" spans="1:3" ht="66" x14ac:dyDescent="0.3">
      <c r="A23" s="4" t="s">
        <v>38</v>
      </c>
      <c r="B23" s="1" t="s">
        <v>39</v>
      </c>
      <c r="C23" s="7" t="s">
        <v>40</v>
      </c>
    </row>
    <row r="24" spans="1:3" ht="15.6" x14ac:dyDescent="0.3">
      <c r="A24" s="3" t="s">
        <v>41</v>
      </c>
      <c r="B24" s="3"/>
      <c r="C24" s="6"/>
    </row>
    <row r="25" spans="1:3" ht="52.8" x14ac:dyDescent="0.3">
      <c r="A25" s="4" t="s">
        <v>42</v>
      </c>
      <c r="B25" s="1" t="s">
        <v>43</v>
      </c>
      <c r="C25" s="7" t="s">
        <v>44</v>
      </c>
    </row>
    <row r="26" spans="1:3" ht="26.4" x14ac:dyDescent="0.3">
      <c r="A26" s="4" t="s">
        <v>45</v>
      </c>
      <c r="B26" s="1" t="s">
        <v>46</v>
      </c>
      <c r="C26" s="7" t="s">
        <v>47</v>
      </c>
    </row>
    <row r="27" spans="1:3" ht="39.6" x14ac:dyDescent="0.3">
      <c r="A27" s="4" t="s">
        <v>48</v>
      </c>
      <c r="B27" s="1" t="s">
        <v>49</v>
      </c>
      <c r="C27" s="7" t="s">
        <v>116</v>
      </c>
    </row>
    <row r="28" spans="1:3" x14ac:dyDescent="0.3">
      <c r="A28" s="4" t="s">
        <v>50</v>
      </c>
      <c r="B28" s="1" t="s">
        <v>51</v>
      </c>
      <c r="C28" s="7"/>
    </row>
    <row r="29" spans="1:3" x14ac:dyDescent="0.3">
      <c r="A29" s="4" t="s">
        <v>52</v>
      </c>
      <c r="B29" s="1" t="s">
        <v>53</v>
      </c>
      <c r="C29" s="7"/>
    </row>
    <row r="30" spans="1:3" x14ac:dyDescent="0.3">
      <c r="A30" s="4" t="s">
        <v>54</v>
      </c>
      <c r="B30" s="1" t="s">
        <v>55</v>
      </c>
      <c r="C30" s="7"/>
    </row>
    <row r="31" spans="1:3" x14ac:dyDescent="0.3">
      <c r="A31" s="4" t="s">
        <v>56</v>
      </c>
      <c r="B31" s="1" t="s">
        <v>57</v>
      </c>
      <c r="C31" s="7"/>
    </row>
    <row r="32" spans="1:3" x14ac:dyDescent="0.3">
      <c r="A32" s="4"/>
      <c r="B32" s="1"/>
      <c r="C32" s="7"/>
    </row>
    <row r="33" spans="1:3" ht="26.4" x14ac:dyDescent="0.3">
      <c r="A33" s="4" t="s">
        <v>58</v>
      </c>
      <c r="B33" s="1" t="s">
        <v>59</v>
      </c>
      <c r="C33" s="7" t="s">
        <v>141</v>
      </c>
    </row>
    <row r="34" spans="1:3" x14ac:dyDescent="0.3">
      <c r="A34" s="4" t="s">
        <v>60</v>
      </c>
      <c r="B34" s="1" t="s">
        <v>61</v>
      </c>
      <c r="C34" s="7"/>
    </row>
    <row r="35" spans="1:3" x14ac:dyDescent="0.3">
      <c r="A35" s="4" t="s">
        <v>62</v>
      </c>
      <c r="B35" s="1" t="s">
        <v>63</v>
      </c>
      <c r="C35" s="7"/>
    </row>
    <row r="36" spans="1:3" x14ac:dyDescent="0.3">
      <c r="A36" s="4" t="s">
        <v>64</v>
      </c>
      <c r="B36" s="1" t="s">
        <v>65</v>
      </c>
      <c r="C36" s="7"/>
    </row>
    <row r="37" spans="1:3" x14ac:dyDescent="0.3">
      <c r="A37" s="4"/>
      <c r="B37" s="1"/>
      <c r="C37" s="7"/>
    </row>
    <row r="38" spans="1:3" ht="26.4" x14ac:dyDescent="0.3">
      <c r="A38" s="4" t="s">
        <v>66</v>
      </c>
      <c r="B38" s="1" t="s">
        <v>67</v>
      </c>
      <c r="C38" s="7" t="s">
        <v>142</v>
      </c>
    </row>
    <row r="39" spans="1:3" x14ac:dyDescent="0.3">
      <c r="A39" s="4" t="s">
        <v>68</v>
      </c>
      <c r="B39" s="1" t="s">
        <v>61</v>
      </c>
      <c r="C39" s="7"/>
    </row>
    <row r="40" spans="1:3" x14ac:dyDescent="0.3">
      <c r="A40" s="4" t="s">
        <v>69</v>
      </c>
      <c r="B40" s="1" t="s">
        <v>70</v>
      </c>
      <c r="C40" s="7"/>
    </row>
    <row r="41" spans="1:3" x14ac:dyDescent="0.3">
      <c r="A41" s="4"/>
      <c r="B41" s="1"/>
      <c r="C41" s="7"/>
    </row>
    <row r="42" spans="1:3" ht="82.2" customHeight="1" x14ac:dyDescent="0.3">
      <c r="A42" s="4" t="s">
        <v>71</v>
      </c>
      <c r="B42" s="1" t="s">
        <v>72</v>
      </c>
      <c r="C42" s="7" t="s">
        <v>140</v>
      </c>
    </row>
    <row r="43" spans="1:3" ht="52.8" x14ac:dyDescent="0.3">
      <c r="A43" s="4" t="s">
        <v>73</v>
      </c>
      <c r="B43" s="1" t="s">
        <v>74</v>
      </c>
      <c r="C43" s="7" t="s">
        <v>143</v>
      </c>
    </row>
    <row r="44" spans="1:3" ht="15.6" x14ac:dyDescent="0.3">
      <c r="A44" s="3" t="s">
        <v>150</v>
      </c>
      <c r="B44" s="3"/>
      <c r="C44" s="6"/>
    </row>
    <row r="45" spans="1:3" ht="52.8" x14ac:dyDescent="0.3">
      <c r="A45" s="4" t="s">
        <v>75</v>
      </c>
      <c r="B45" s="1" t="s">
        <v>76</v>
      </c>
      <c r="C45" s="7" t="s">
        <v>155</v>
      </c>
    </row>
    <row r="46" spans="1:3" ht="106.8" customHeight="1" x14ac:dyDescent="0.3">
      <c r="A46" s="4" t="s">
        <v>77</v>
      </c>
      <c r="B46" s="1" t="s">
        <v>78</v>
      </c>
      <c r="C46" s="7" t="s">
        <v>159</v>
      </c>
    </row>
    <row r="47" spans="1:3" ht="102" customHeight="1" x14ac:dyDescent="0.3">
      <c r="A47" s="4" t="s">
        <v>79</v>
      </c>
      <c r="B47" s="1" t="s">
        <v>80</v>
      </c>
      <c r="C47" s="7" t="s">
        <v>153</v>
      </c>
    </row>
    <row r="48" spans="1:3" ht="26.4" x14ac:dyDescent="0.3">
      <c r="A48" s="4" t="s">
        <v>81</v>
      </c>
      <c r="B48" s="1" t="s">
        <v>82</v>
      </c>
      <c r="C48" s="7" t="s">
        <v>161</v>
      </c>
    </row>
    <row r="49" spans="1:11" ht="39.6" x14ac:dyDescent="0.3">
      <c r="A49" s="4" t="s">
        <v>83</v>
      </c>
      <c r="B49" s="1" t="s">
        <v>84</v>
      </c>
      <c r="C49" s="7" t="s">
        <v>156</v>
      </c>
    </row>
    <row r="50" spans="1:11" ht="66" x14ac:dyDescent="0.3">
      <c r="A50" s="4" t="s">
        <v>85</v>
      </c>
      <c r="B50" s="1" t="s">
        <v>86</v>
      </c>
      <c r="C50" s="7" t="s">
        <v>157</v>
      </c>
    </row>
    <row r="51" spans="1:11" ht="39.6" x14ac:dyDescent="0.3">
      <c r="A51" s="4" t="s">
        <v>87</v>
      </c>
      <c r="B51" s="1" t="s">
        <v>88</v>
      </c>
      <c r="C51" s="7" t="s">
        <v>162</v>
      </c>
    </row>
    <row r="52" spans="1:11" ht="52.8" x14ac:dyDescent="0.3">
      <c r="A52" s="4" t="s">
        <v>89</v>
      </c>
      <c r="B52" s="1" t="s">
        <v>90</v>
      </c>
      <c r="C52" s="7" t="s">
        <v>149</v>
      </c>
    </row>
    <row r="53" spans="1:11" x14ac:dyDescent="0.3">
      <c r="A53" s="4" t="s">
        <v>91</v>
      </c>
      <c r="B53" s="1" t="s">
        <v>92</v>
      </c>
      <c r="C53" s="7" t="s">
        <v>146</v>
      </c>
    </row>
    <row r="54" spans="1:11" x14ac:dyDescent="0.3">
      <c r="A54" s="4" t="s">
        <v>93</v>
      </c>
      <c r="B54" s="1" t="s">
        <v>94</v>
      </c>
      <c r="C54" s="7" t="s">
        <v>151</v>
      </c>
      <c r="D54">
        <f>8.5/48.5</f>
        <v>0.17525773195876287</v>
      </c>
    </row>
    <row r="55" spans="1:11" ht="27" thickBot="1" x14ac:dyDescent="0.35">
      <c r="A55" s="4" t="s">
        <v>95</v>
      </c>
      <c r="B55" s="1" t="s">
        <v>96</v>
      </c>
      <c r="C55" s="7" t="s">
        <v>152</v>
      </c>
    </row>
    <row r="56" spans="1:11" ht="26.4" x14ac:dyDescent="0.3">
      <c r="A56" s="4" t="s">
        <v>97</v>
      </c>
      <c r="B56" s="1" t="s">
        <v>98</v>
      </c>
      <c r="C56" s="7" t="s">
        <v>147</v>
      </c>
      <c r="D56" s="29" t="s">
        <v>144</v>
      </c>
      <c r="E56" s="30">
        <v>45</v>
      </c>
      <c r="F56" s="30">
        <v>50</v>
      </c>
      <c r="G56" s="30">
        <v>48</v>
      </c>
      <c r="H56" s="30">
        <v>52</v>
      </c>
      <c r="I56" s="30">
        <v>47</v>
      </c>
      <c r="J56" s="31">
        <v>49</v>
      </c>
      <c r="K56">
        <f>AVERAGE(E56:J56)</f>
        <v>48.5</v>
      </c>
    </row>
    <row r="57" spans="1:11" ht="53.4" thickBot="1" x14ac:dyDescent="0.35">
      <c r="A57" s="4" t="s">
        <v>99</v>
      </c>
      <c r="B57" s="1" t="s">
        <v>100</v>
      </c>
      <c r="C57" s="7" t="s">
        <v>158</v>
      </c>
      <c r="D57" s="32" t="s">
        <v>145</v>
      </c>
      <c r="E57" s="33">
        <v>55</v>
      </c>
      <c r="F57" s="33">
        <v>58</v>
      </c>
      <c r="G57" s="33">
        <v>53</v>
      </c>
      <c r="H57" s="33">
        <v>60</v>
      </c>
      <c r="I57" s="33">
        <v>57</v>
      </c>
      <c r="J57" s="34">
        <v>59</v>
      </c>
      <c r="K57">
        <f>AVERAGE(E57:J57)</f>
        <v>57</v>
      </c>
    </row>
    <row r="58" spans="1:11" ht="39.6" x14ac:dyDescent="0.3">
      <c r="A58" s="4" t="s">
        <v>101</v>
      </c>
      <c r="B58" s="1" t="s">
        <v>102</v>
      </c>
      <c r="C58" s="7" t="s">
        <v>154</v>
      </c>
    </row>
    <row r="59" spans="1:11" ht="26.4" x14ac:dyDescent="0.3">
      <c r="A59" s="4" t="s">
        <v>103</v>
      </c>
      <c r="B59" s="1" t="s">
        <v>104</v>
      </c>
      <c r="C59" s="7" t="s">
        <v>148</v>
      </c>
    </row>
  </sheetData>
  <mergeCells count="3">
    <mergeCell ref="A1:C1"/>
    <mergeCell ref="A3:C3"/>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E044D-737B-476D-B74C-52493EDBB9D4}">
  <dimension ref="A1:M3"/>
  <sheetViews>
    <sheetView workbookViewId="0">
      <selection activeCell="A6" sqref="A6:A9"/>
    </sheetView>
  </sheetViews>
  <sheetFormatPr defaultRowHeight="14.4" x14ac:dyDescent="0.3"/>
  <cols>
    <col min="1" max="1" width="31.5546875" customWidth="1"/>
    <col min="2" max="13" width="7.44140625" customWidth="1"/>
  </cols>
  <sheetData>
    <row r="1" spans="1:13" ht="57.6" x14ac:dyDescent="0.3">
      <c r="A1" s="9" t="s">
        <v>118</v>
      </c>
      <c r="B1" s="9" t="s">
        <v>109</v>
      </c>
      <c r="C1">
        <v>15</v>
      </c>
      <c r="D1">
        <v>14</v>
      </c>
      <c r="E1">
        <v>10</v>
      </c>
      <c r="F1">
        <v>18</v>
      </c>
      <c r="G1">
        <v>16</v>
      </c>
      <c r="H1">
        <v>13</v>
      </c>
      <c r="I1">
        <v>15</v>
      </c>
      <c r="J1">
        <v>14</v>
      </c>
      <c r="K1">
        <v>95</v>
      </c>
      <c r="L1">
        <v>11</v>
      </c>
      <c r="M1">
        <v>17</v>
      </c>
    </row>
    <row r="2" spans="1:13" ht="43.2" x14ac:dyDescent="0.3">
      <c r="A2" s="9" t="s">
        <v>117</v>
      </c>
      <c r="B2" s="10" t="s">
        <v>110</v>
      </c>
      <c r="C2" s="10" t="s">
        <v>111</v>
      </c>
      <c r="D2" s="10" t="s">
        <v>112</v>
      </c>
      <c r="E2" s="10" t="s">
        <v>113</v>
      </c>
      <c r="F2" s="10" t="s">
        <v>114</v>
      </c>
      <c r="G2" s="10" t="s">
        <v>115</v>
      </c>
    </row>
    <row r="3" spans="1:13" x14ac:dyDescent="0.3">
      <c r="B3">
        <f>_xlfn.QUARTILE.INC(B1:M1,1)</f>
        <v>13.5</v>
      </c>
      <c r="C3">
        <f>_xlfn.QUARTILE.INC(B1:M1,3)</f>
        <v>16.5</v>
      </c>
      <c r="D3">
        <f>C3-B3</f>
        <v>3</v>
      </c>
      <c r="E3">
        <f>B3-1.5*D3</f>
        <v>9</v>
      </c>
      <c r="F3">
        <f>C3+1.5*D3</f>
        <v>21</v>
      </c>
      <c r="G3">
        <v>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BD96C-FD47-4DF5-A4AA-1FA1FD06C46B}">
  <dimension ref="A1:M20"/>
  <sheetViews>
    <sheetView workbookViewId="0">
      <selection activeCell="A20" sqref="A20"/>
    </sheetView>
  </sheetViews>
  <sheetFormatPr defaultRowHeight="14.4" x14ac:dyDescent="0.3"/>
  <cols>
    <col min="1" max="2" width="30.88671875" customWidth="1"/>
    <col min="3" max="8" width="12" customWidth="1"/>
    <col min="9" max="12" width="10" customWidth="1"/>
  </cols>
  <sheetData>
    <row r="1" spans="1:13" ht="16.8" x14ac:dyDescent="0.3">
      <c r="A1" s="22" t="s">
        <v>119</v>
      </c>
      <c r="B1" s="19"/>
      <c r="C1" s="19"/>
      <c r="D1" s="19"/>
      <c r="E1" s="19"/>
      <c r="F1" s="19"/>
      <c r="G1" s="19"/>
      <c r="H1" s="19"/>
      <c r="I1" s="19"/>
      <c r="J1" s="19"/>
      <c r="K1" s="19"/>
      <c r="L1" s="19"/>
    </row>
    <row r="2" spans="1:13" x14ac:dyDescent="0.3">
      <c r="B2">
        <v>220</v>
      </c>
      <c r="C2">
        <v>240</v>
      </c>
      <c r="D2">
        <v>235</v>
      </c>
      <c r="E2">
        <v>250</v>
      </c>
      <c r="F2">
        <v>245</v>
      </c>
      <c r="G2">
        <v>230</v>
      </c>
      <c r="H2">
        <v>225</v>
      </c>
      <c r="I2">
        <v>255</v>
      </c>
      <c r="J2">
        <v>238</v>
      </c>
      <c r="K2">
        <v>242</v>
      </c>
      <c r="L2">
        <v>248</v>
      </c>
    </row>
    <row r="3" spans="1:13" x14ac:dyDescent="0.3">
      <c r="A3" s="11" t="s">
        <v>120</v>
      </c>
      <c r="B3" s="12">
        <v>220</v>
      </c>
      <c r="C3" s="12">
        <v>240</v>
      </c>
      <c r="D3" s="12">
        <v>235</v>
      </c>
      <c r="E3" s="12">
        <v>250</v>
      </c>
      <c r="F3" s="12">
        <v>245</v>
      </c>
      <c r="G3" s="12">
        <v>230</v>
      </c>
      <c r="H3" s="16">
        <v>1200</v>
      </c>
      <c r="I3" s="12">
        <v>225</v>
      </c>
      <c r="J3" s="12">
        <v>255</v>
      </c>
      <c r="K3" s="12">
        <v>238</v>
      </c>
      <c r="L3" s="12">
        <v>242</v>
      </c>
      <c r="M3" s="12">
        <v>248</v>
      </c>
    </row>
    <row r="5" spans="1:13" x14ac:dyDescent="0.3">
      <c r="A5" s="13" t="s">
        <v>110</v>
      </c>
      <c r="B5" s="13" t="s">
        <v>111</v>
      </c>
      <c r="C5" s="13" t="s">
        <v>112</v>
      </c>
      <c r="D5" s="13" t="s">
        <v>121</v>
      </c>
      <c r="E5" s="13" t="s">
        <v>122</v>
      </c>
      <c r="F5" s="13" t="s">
        <v>133</v>
      </c>
    </row>
    <row r="6" spans="1:13" x14ac:dyDescent="0.3">
      <c r="A6" s="12">
        <f>_xlfn.QUARTILE.INC(B3:M3,1)</f>
        <v>233.75</v>
      </c>
      <c r="B6" s="12">
        <f>_xlfn.QUARTILE.INC(B3:M3,3)</f>
        <v>248.5</v>
      </c>
      <c r="C6" s="12">
        <f>B6-A6</f>
        <v>14.75</v>
      </c>
      <c r="D6" s="12">
        <f>A6-C6*1.5</f>
        <v>211.625</v>
      </c>
      <c r="E6" s="12">
        <f>B6+1.5*C6</f>
        <v>270.625</v>
      </c>
      <c r="F6">
        <v>1200</v>
      </c>
    </row>
    <row r="8" spans="1:13" x14ac:dyDescent="0.3">
      <c r="A8" s="11" t="s">
        <v>123</v>
      </c>
    </row>
    <row r="9" spans="1:13" x14ac:dyDescent="0.3">
      <c r="A9" s="14" t="s">
        <v>124</v>
      </c>
      <c r="B9" s="15">
        <v>1200</v>
      </c>
    </row>
    <row r="11" spans="1:13" x14ac:dyDescent="0.3">
      <c r="A11" s="11" t="s">
        <v>125</v>
      </c>
    </row>
    <row r="12" spans="1:13" x14ac:dyDescent="0.3">
      <c r="A12" s="14" t="s">
        <v>126</v>
      </c>
      <c r="C12" s="15">
        <f>AVERAGE(B3:M3)</f>
        <v>319</v>
      </c>
    </row>
    <row r="13" spans="1:13" x14ac:dyDescent="0.3">
      <c r="A13" s="14" t="s">
        <v>127</v>
      </c>
      <c r="C13" s="15">
        <f>AVERAGE(B2:L2)</f>
        <v>238.90909090909091</v>
      </c>
    </row>
    <row r="14" spans="1:13" x14ac:dyDescent="0.3">
      <c r="A14" s="14" t="s">
        <v>128</v>
      </c>
      <c r="C14" s="23" t="s">
        <v>134</v>
      </c>
      <c r="D14" s="24"/>
      <c r="E14" s="24"/>
      <c r="F14" s="24"/>
      <c r="G14" s="24"/>
      <c r="H14" s="25"/>
    </row>
    <row r="16" spans="1:13" ht="27" x14ac:dyDescent="0.3">
      <c r="A16" s="17" t="s">
        <v>135</v>
      </c>
      <c r="B16" t="s">
        <v>136</v>
      </c>
    </row>
    <row r="17" spans="1:12" x14ac:dyDescent="0.3">
      <c r="A17" s="23"/>
      <c r="B17" s="24"/>
      <c r="C17" s="24"/>
      <c r="D17" s="24"/>
      <c r="E17" s="24"/>
      <c r="F17" s="24"/>
      <c r="G17" s="24"/>
      <c r="H17" s="25"/>
    </row>
    <row r="18" spans="1:12" ht="28.8" x14ac:dyDescent="0.3">
      <c r="A18" s="9" t="s">
        <v>137</v>
      </c>
      <c r="B18">
        <f>MEDIAN(B3:M3)</f>
        <v>241</v>
      </c>
    </row>
    <row r="19" spans="1:12" x14ac:dyDescent="0.3">
      <c r="A19" s="26"/>
      <c r="B19" s="19"/>
      <c r="C19" s="19"/>
      <c r="D19" s="19"/>
      <c r="E19" s="19"/>
      <c r="F19" s="19"/>
      <c r="G19" s="19"/>
      <c r="H19" s="19"/>
      <c r="I19" s="19"/>
      <c r="J19" s="19"/>
      <c r="K19" s="19"/>
      <c r="L19" s="19"/>
    </row>
    <row r="20" spans="1:12" x14ac:dyDescent="0.3">
      <c r="A20" t="s">
        <v>138</v>
      </c>
      <c r="B20">
        <f>MEDIAN(B3:M3)</f>
        <v>241</v>
      </c>
    </row>
  </sheetData>
  <mergeCells count="4">
    <mergeCell ref="A1:L1"/>
    <mergeCell ref="C14:H14"/>
    <mergeCell ref="A17:H17"/>
    <mergeCell ref="A19:L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44194-D82F-48BF-8DF5-47E01720C0E4}">
  <dimension ref="A1:K14"/>
  <sheetViews>
    <sheetView workbookViewId="0">
      <selection activeCell="A13" sqref="A13"/>
    </sheetView>
  </sheetViews>
  <sheetFormatPr defaultRowHeight="14.4" x14ac:dyDescent="0.3"/>
  <cols>
    <col min="1" max="1" width="26" customWidth="1"/>
    <col min="2" max="10" width="12" customWidth="1"/>
  </cols>
  <sheetData>
    <row r="1" spans="1:11" ht="16.8" x14ac:dyDescent="0.3">
      <c r="A1" s="22" t="s">
        <v>129</v>
      </c>
      <c r="B1" s="19"/>
      <c r="C1" s="19"/>
      <c r="D1" s="19"/>
      <c r="E1" s="19"/>
      <c r="F1" s="19"/>
      <c r="G1" s="19"/>
      <c r="H1" s="19"/>
      <c r="I1" s="19"/>
      <c r="J1" s="19"/>
    </row>
    <row r="3" spans="1:11" x14ac:dyDescent="0.3">
      <c r="A3" s="11" t="s">
        <v>130</v>
      </c>
      <c r="B3" s="12">
        <v>72</v>
      </c>
      <c r="C3" s="12">
        <v>68</v>
      </c>
      <c r="D3" s="12">
        <v>75</v>
      </c>
      <c r="E3" s="12">
        <v>70</v>
      </c>
      <c r="F3" s="12">
        <v>74</v>
      </c>
      <c r="G3" s="12">
        <v>69</v>
      </c>
      <c r="H3" s="12">
        <v>12</v>
      </c>
      <c r="I3" s="12">
        <v>71</v>
      </c>
      <c r="J3" s="12">
        <v>73</v>
      </c>
      <c r="K3" s="12">
        <v>70</v>
      </c>
    </row>
    <row r="5" spans="1:11" x14ac:dyDescent="0.3">
      <c r="A5" s="13" t="s">
        <v>110</v>
      </c>
      <c r="B5" s="13" t="s">
        <v>111</v>
      </c>
      <c r="C5" s="13" t="s">
        <v>112</v>
      </c>
      <c r="D5" s="13" t="s">
        <v>121</v>
      </c>
      <c r="E5" s="13" t="s">
        <v>122</v>
      </c>
    </row>
    <row r="6" spans="1:11" x14ac:dyDescent="0.3">
      <c r="A6" s="12">
        <f>_xlfn.QUARTILE.INC(B3:K3,1)</f>
        <v>69.25</v>
      </c>
      <c r="B6" s="12">
        <f>_xlfn.QUARTILE.INC(B3:K3,3)</f>
        <v>72.75</v>
      </c>
      <c r="C6" s="12">
        <f>B6-A6</f>
        <v>3.5</v>
      </c>
      <c r="D6" s="12">
        <f>A6-1.5*C6</f>
        <v>64</v>
      </c>
      <c r="E6" s="12">
        <f>B6+1.5*C6</f>
        <v>78</v>
      </c>
    </row>
    <row r="8" spans="1:11" x14ac:dyDescent="0.3">
      <c r="A8" s="11" t="s">
        <v>131</v>
      </c>
    </row>
    <row r="9" spans="1:11" x14ac:dyDescent="0.3">
      <c r="A9" s="14" t="s">
        <v>124</v>
      </c>
      <c r="B9" s="15">
        <v>12</v>
      </c>
    </row>
    <row r="11" spans="1:11" x14ac:dyDescent="0.3">
      <c r="A11" s="11" t="s">
        <v>132</v>
      </c>
    </row>
    <row r="12" spans="1:11" ht="34.200000000000003" customHeight="1" x14ac:dyDescent="0.3">
      <c r="A12" s="27" t="s">
        <v>139</v>
      </c>
      <c r="B12" s="24"/>
      <c r="C12" s="24"/>
      <c r="D12" s="24"/>
      <c r="E12" s="24"/>
      <c r="F12" s="24"/>
      <c r="G12" s="24"/>
      <c r="H12" s="25"/>
    </row>
    <row r="14" spans="1:11" x14ac:dyDescent="0.3">
      <c r="A14" s="28"/>
      <c r="B14" s="19"/>
      <c r="C14" s="19"/>
      <c r="D14" s="19"/>
      <c r="E14" s="19"/>
      <c r="F14" s="19"/>
      <c r="G14" s="19"/>
      <c r="H14" s="19"/>
      <c r="I14" s="19"/>
      <c r="J14" s="19"/>
    </row>
  </sheetData>
  <mergeCells count="3">
    <mergeCell ref="A1:J1"/>
    <mergeCell ref="A12:H12"/>
    <mergeCell ref="A14:J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Statistika Tapşırıqları</vt:lpstr>
      <vt:lpstr>sual12</vt:lpstr>
      <vt:lpstr>sual13</vt:lpstr>
      <vt:lpstr>sual14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Xanim D. Huseynova</cp:lastModifiedBy>
  <dcterms:created xsi:type="dcterms:W3CDTF">2026-07-07T12:16:12Z</dcterms:created>
  <dcterms:modified xsi:type="dcterms:W3CDTF">2026-07-08T09:41:38Z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72cba773-fdd2-427c-82a9-7d0cbea6c0ab</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72cba773-fdd2-427c-82a9-7d0cbea6c0ab</vt:lpwstr>
  </property>
  <property fmtid="{D5CDD505-2E9C-101B-9397-08002B2CF9AE}" pid="6" name="UserId">
    <vt:lpwstr>Xanim D. Huseynova</vt:lpwstr>
  </property>
  <property fmtid="{D5CDD505-2E9C-101B-9397-08002B2CF9AE}" pid="7" name="TagDateTime">
    <vt:lpwstr>08-07-2026</vt:lpwstr>
  </property>
  <property fmtid="{D5CDD505-2E9C-101B-9397-08002B2CF9AE}" pid="8" name="GVData">
    <vt:lpwstr>eyJPUyI6IldpbmRvd3MiLCJkb2NJRCI6IjcyY2JhNzczLWZkZDItNDI3Yy04MmE5LTdkMGNiZWE2YzBhYiIsImRvY1N0YXRlIjoie30iLCJwYXJlbnRMaW5lSWRzIjoiW1wiNjAwOGQ3NzctY2E0ZS00OGYxLWJjYmEtYWU3MGJkMTA3NzEyXCJdIiwid3JpdHRlbktl</vt:lpwstr>
  </property>
  <property fmtid="{D5CDD505-2E9C-101B-9397-08002B2CF9AE}" pid="9" name="GVData0">
    <vt:lpwstr>eXMiOiJbXCJDbGFzc2lmaWNhdGlvblRhZ1NldElkXCIsXCJDb21wbGlhbmNlVGFnU2V0SWRcIixcIkZpbGVJZFwiLFwiZ3Zkb2NpZFwiLFwiVGFnRGF0ZVRpbWVcIixcIlVzZXJJZFwiXSIsIm5vT2ZHdkRhdGFFbnRyaWVzIjoiMyIsImxpbmVJZCI6IjI5NDMyNzAz</vt:lpwstr>
  </property>
  <property fmtid="{D5CDD505-2E9C-101B-9397-08002B2CF9AE}" pid="10" name="GVData1">
    <vt:lpwstr>LWJkZmUtNDg2NC1iMmYzLTU4MWM2NjdhOTgxMiJ9</vt:lpwstr>
  </property>
  <property fmtid="{D5CDD505-2E9C-101B-9397-08002B2CF9AE}" pid="11" name="GVData2">
    <vt:lpwstr>(end)</vt:lpwstr>
  </property>
</Properties>
</file>