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eynovaXD\Desktop\DATA ANALİTİKA\"/>
    </mc:Choice>
  </mc:AlternateContent>
  <xr:revisionPtr revIDLastSave="0" documentId="13_ncr:1_{C593D8FD-8C4B-43D7-9D31-C78C3B874A17}" xr6:coauthVersionLast="47" xr6:coauthVersionMax="47" xr10:uidLastSave="{00000000-0000-0000-0000-000000000000}"/>
  <bookViews>
    <workbookView xWindow="-108" yWindow="-108" windowWidth="23256" windowHeight="12456" xr2:uid="{E3C07B06-C183-D44C-8280-40F056780166}"/>
  </bookViews>
  <sheets>
    <sheet name="Logical Opera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<sst xmlns="http://schemas.openxmlformats.org/spreadsheetml/2006/main" count="37" uniqueCount="24">
  <si>
    <t>Student</t>
  </si>
  <si>
    <t>Gender</t>
  </si>
  <si>
    <t>Score</t>
  </si>
  <si>
    <t>Pass/Fail</t>
  </si>
  <si>
    <t>Letter</t>
  </si>
  <si>
    <t>Outlier</t>
  </si>
  <si>
    <t>Award</t>
  </si>
  <si>
    <t>Jill</t>
  </si>
  <si>
    <t>F</t>
  </si>
  <si>
    <t>Tom</t>
  </si>
  <si>
    <t>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</si>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</sst>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204829</xdr:colOff>
      <xdr:row>0</xdr:row>
      <xdr:rowOff>110718</xdr:rowOff>
    </xdr:from>
    <xdr:to>
      <xdr:col>14</xdr:col>
      <xdr:colOff>560168</xdr:colOff>
      <xdr:row>20</xdr:row>
      <xdr:rowOff>179298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3768C8-1243-F949-9516-FEFF7A901E1B}"/>
            </a:ext>
          </a:extLst>
        </xdr:cNvPr>
        <xdr:cNvSpPr/>
      </xdr:nvSpPr>
      <xdr:spPr>
        <a:xfrm>
          <a:off x="7635957" y="110718"/>
          <a:ext cx="3950416" cy="37157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0489-BC9A-6946-88DB-E2BDDE54CC94}">
  <sheetPr>
    <tabColor theme="9" tint="0.59999389629810485"/>
  </sheetPr>
  <dimension ref="A1:G16"/>
  <sheetViews>
    <sheetView tabSelected="1" zoomScale="117" workbookViewId="0">
      <selection activeCell="G2" sqref="G2:G16"/>
    </sheetView>
  </sheetViews>
  <sheetFormatPr defaultColWidth="8.77734375" defaultRowHeight="14.4" x14ac:dyDescent="0.3"/>
  <cols>
    <col min="1" max="2" width="14.77734375" style="2" customWidth="1"/>
    <col min="3" max="3" width="13.33203125" style="2" customWidth="1"/>
    <col min="4" max="4" width="14" style="2" customWidth="1"/>
    <col min="5" max="5" width="12" style="2" customWidth="1"/>
    <col min="6" max="6" width="14.33203125" style="2" customWidth="1"/>
    <col min="7" max="7" width="16.44140625" style="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90</v>
      </c>
      <c r="D2" s="3" t="str">
        <f>IF(C2&gt;=60,"PASS", "FAIL")</f>
        <v>PASS</v>
      </c>
      <c r="E2" s="3" t="str">
        <f>IF(C2&gt;=90,"A",IF(C2&gt;=80,"B", IF(C2&gt;=70,"C", IF(C2&gt;=60,"D", IF(C2&lt;60,"F")))))</f>
        <v>A</v>
      </c>
      <c r="F2" s="3" t="str">
        <f>IF(OR(C2&lt;60,C2&gt;90), "OUTLIER","AVG")</f>
        <v>AVG</v>
      </c>
      <c r="G2" s="3" t="str">
        <f>IF(AND(B2="M",C2&gt;95), "Male Achiever", IF(AND(C2&gt;95,B2="F"),"Female Achiever", "NONE"))</f>
        <v>NONE</v>
      </c>
    </row>
    <row r="3" spans="1:7" x14ac:dyDescent="0.3">
      <c r="A3" s="2" t="s">
        <v>9</v>
      </c>
      <c r="B3" s="2" t="s">
        <v>10</v>
      </c>
      <c r="C3" s="2">
        <v>80</v>
      </c>
      <c r="D3" s="3" t="str">
        <f t="shared" ref="D3:D16" si="0">IF(C3&gt;=60,"PASS", "FAIL")</f>
        <v>PASS</v>
      </c>
      <c r="E3" s="3" t="str">
        <f t="shared" ref="E3:E16" si="1">IF(C3&gt;=90,"A",IF(C3&gt;=80,"B", IF(C3&gt;=70,"C", IF(C3&gt;=60,"D", IF(C3&lt;60,"F")))))</f>
        <v>B</v>
      </c>
      <c r="F3" s="3" t="str">
        <f t="shared" ref="F3:F16" si="2">IF(OR(C3&lt;60,C3&gt;90), "OUTLIER","AVG")</f>
        <v>AVG</v>
      </c>
      <c r="G3" s="3" t="str">
        <f t="shared" ref="G3:G16" si="3">IF(AND(B3="M",C3&gt;95), "Male Achiever", IF(AND(C3&gt;95,B3="F"),"Female Achiever", "NONE"))</f>
        <v>NONE</v>
      </c>
    </row>
    <row r="4" spans="1:7" x14ac:dyDescent="0.3">
      <c r="A4" s="2" t="s">
        <v>11</v>
      </c>
      <c r="B4" s="2" t="s">
        <v>8</v>
      </c>
      <c r="C4" s="2">
        <v>96</v>
      </c>
      <c r="D4" s="3" t="str">
        <f t="shared" si="0"/>
        <v>PASS</v>
      </c>
      <c r="E4" s="3" t="str">
        <f t="shared" si="1"/>
        <v>A</v>
      </c>
      <c r="F4" s="3" t="str">
        <f t="shared" si="2"/>
        <v>OUTLIER</v>
      </c>
      <c r="G4" s="3" t="str">
        <f t="shared" si="3"/>
        <v>Female Achiever</v>
      </c>
    </row>
    <row r="5" spans="1:7" x14ac:dyDescent="0.3">
      <c r="A5" s="2" t="s">
        <v>12</v>
      </c>
      <c r="B5" s="2" t="s">
        <v>10</v>
      </c>
      <c r="C5" s="2">
        <v>72</v>
      </c>
      <c r="D5" s="3" t="str">
        <f t="shared" si="0"/>
        <v>PASS</v>
      </c>
      <c r="E5" s="3" t="str">
        <f t="shared" si="1"/>
        <v>C</v>
      </c>
      <c r="F5" s="3" t="str">
        <f t="shared" si="2"/>
        <v>AVG</v>
      </c>
      <c r="G5" s="3" t="str">
        <f t="shared" si="3"/>
        <v>NONE</v>
      </c>
    </row>
    <row r="6" spans="1:7" x14ac:dyDescent="0.3">
      <c r="A6" s="2" t="s">
        <v>13</v>
      </c>
      <c r="B6" s="2" t="s">
        <v>10</v>
      </c>
      <c r="C6" s="2">
        <v>69</v>
      </c>
      <c r="D6" s="3" t="str">
        <f t="shared" si="0"/>
        <v>PASS</v>
      </c>
      <c r="E6" s="3" t="str">
        <f t="shared" si="1"/>
        <v>D</v>
      </c>
      <c r="F6" s="3" t="str">
        <f t="shared" si="2"/>
        <v>AVG</v>
      </c>
      <c r="G6" s="3" t="str">
        <f t="shared" si="3"/>
        <v>NONE</v>
      </c>
    </row>
    <row r="7" spans="1:7" x14ac:dyDescent="0.3">
      <c r="A7" s="2" t="s">
        <v>14</v>
      </c>
      <c r="B7" s="2" t="s">
        <v>8</v>
      </c>
      <c r="C7" s="2">
        <v>52</v>
      </c>
      <c r="D7" s="3" t="str">
        <f t="shared" si="0"/>
        <v>FAIL</v>
      </c>
      <c r="E7" s="3" t="str">
        <f t="shared" si="1"/>
        <v>F</v>
      </c>
      <c r="F7" s="3" t="str">
        <f t="shared" si="2"/>
        <v>OUTLIER</v>
      </c>
      <c r="G7" s="3" t="str">
        <f t="shared" si="3"/>
        <v>NONE</v>
      </c>
    </row>
    <row r="8" spans="1:7" x14ac:dyDescent="0.3">
      <c r="A8" s="2" t="s">
        <v>15</v>
      </c>
      <c r="B8" s="2" t="s">
        <v>10</v>
      </c>
      <c r="C8" s="2">
        <v>99</v>
      </c>
      <c r="D8" s="3" t="str">
        <f t="shared" si="0"/>
        <v>PASS</v>
      </c>
      <c r="E8" s="3" t="str">
        <f t="shared" si="1"/>
        <v>A</v>
      </c>
      <c r="F8" s="3" t="str">
        <f t="shared" si="2"/>
        <v>OUTLIER</v>
      </c>
      <c r="G8" s="3" t="str">
        <f t="shared" si="3"/>
        <v>Male Achiever</v>
      </c>
    </row>
    <row r="9" spans="1:7" x14ac:dyDescent="0.3">
      <c r="A9" s="2" t="s">
        <v>16</v>
      </c>
      <c r="B9" s="2" t="s">
        <v>8</v>
      </c>
      <c r="C9" s="2">
        <v>82</v>
      </c>
      <c r="D9" s="3" t="str">
        <f t="shared" si="0"/>
        <v>PASS</v>
      </c>
      <c r="E9" s="3" t="str">
        <f t="shared" si="1"/>
        <v>B</v>
      </c>
      <c r="F9" s="3" t="str">
        <f t="shared" si="2"/>
        <v>AVG</v>
      </c>
      <c r="G9" s="3" t="str">
        <f t="shared" si="3"/>
        <v>NONE</v>
      </c>
    </row>
    <row r="10" spans="1:7" x14ac:dyDescent="0.3">
      <c r="A10" s="2" t="s">
        <v>17</v>
      </c>
      <c r="B10" s="2" t="s">
        <v>8</v>
      </c>
      <c r="C10" s="2">
        <v>67</v>
      </c>
      <c r="D10" s="3" t="str">
        <f t="shared" si="0"/>
        <v>PASS</v>
      </c>
      <c r="E10" s="3" t="str">
        <f t="shared" si="1"/>
        <v>D</v>
      </c>
      <c r="F10" s="3" t="str">
        <f t="shared" si="2"/>
        <v>AVG</v>
      </c>
      <c r="G10" s="3" t="str">
        <f t="shared" si="3"/>
        <v>NONE</v>
      </c>
    </row>
    <row r="11" spans="1:7" x14ac:dyDescent="0.3">
      <c r="A11" s="2" t="s">
        <v>18</v>
      </c>
      <c r="B11" s="2" t="s">
        <v>10</v>
      </c>
      <c r="C11" s="2">
        <v>90</v>
      </c>
      <c r="D11" s="3" t="str">
        <f t="shared" si="0"/>
        <v>PASS</v>
      </c>
      <c r="E11" s="3" t="str">
        <f t="shared" si="1"/>
        <v>A</v>
      </c>
      <c r="F11" s="3" t="str">
        <f t="shared" si="2"/>
        <v>AVG</v>
      </c>
      <c r="G11" s="3" t="str">
        <f t="shared" si="3"/>
        <v>NONE</v>
      </c>
    </row>
    <row r="12" spans="1:7" x14ac:dyDescent="0.3">
      <c r="A12" s="2" t="s">
        <v>19</v>
      </c>
      <c r="B12" s="2" t="s">
        <v>10</v>
      </c>
      <c r="C12" s="2">
        <v>83</v>
      </c>
      <c r="D12" s="3" t="str">
        <f t="shared" si="0"/>
        <v>PASS</v>
      </c>
      <c r="E12" s="3" t="str">
        <f t="shared" si="1"/>
        <v>B</v>
      </c>
      <c r="F12" s="3" t="str">
        <f t="shared" si="2"/>
        <v>AVG</v>
      </c>
      <c r="G12" s="3" t="str">
        <f t="shared" si="3"/>
        <v>NONE</v>
      </c>
    </row>
    <row r="13" spans="1:7" x14ac:dyDescent="0.3">
      <c r="A13" s="2" t="s">
        <v>20</v>
      </c>
      <c r="B13" s="2" t="s">
        <v>8</v>
      </c>
      <c r="C13" s="2">
        <v>89</v>
      </c>
      <c r="D13" s="3" t="str">
        <f t="shared" si="0"/>
        <v>PASS</v>
      </c>
      <c r="E13" s="3" t="str">
        <f t="shared" si="1"/>
        <v>B</v>
      </c>
      <c r="F13" s="3" t="str">
        <f t="shared" si="2"/>
        <v>AVG</v>
      </c>
      <c r="G13" s="3" t="str">
        <f t="shared" si="3"/>
        <v>NONE</v>
      </c>
    </row>
    <row r="14" spans="1:7" x14ac:dyDescent="0.3">
      <c r="A14" s="2" t="s">
        <v>21</v>
      </c>
      <c r="B14" s="2" t="s">
        <v>8</v>
      </c>
      <c r="C14" s="2">
        <v>60</v>
      </c>
      <c r="D14" s="3" t="str">
        <f t="shared" si="0"/>
        <v>PASS</v>
      </c>
      <c r="E14" s="3" t="str">
        <f t="shared" si="1"/>
        <v>D</v>
      </c>
      <c r="F14" s="3" t="str">
        <f t="shared" si="2"/>
        <v>AVG</v>
      </c>
      <c r="G14" s="3" t="str">
        <f t="shared" si="3"/>
        <v>NONE</v>
      </c>
    </row>
    <row r="15" spans="1:7" x14ac:dyDescent="0.3">
      <c r="A15" s="2" t="s">
        <v>22</v>
      </c>
      <c r="B15" s="2" t="s">
        <v>8</v>
      </c>
      <c r="C15" s="2">
        <v>63</v>
      </c>
      <c r="D15" s="3" t="str">
        <f t="shared" si="0"/>
        <v>PASS</v>
      </c>
      <c r="E15" s="3" t="str">
        <f t="shared" si="1"/>
        <v>D</v>
      </c>
      <c r="F15" s="3" t="str">
        <f t="shared" si="2"/>
        <v>AVG</v>
      </c>
      <c r="G15" s="3" t="str">
        <f t="shared" si="3"/>
        <v>NONE</v>
      </c>
    </row>
    <row r="16" spans="1:7" x14ac:dyDescent="0.3">
      <c r="A16" s="2" t="s">
        <v>23</v>
      </c>
      <c r="B16" s="2" t="s">
        <v>10</v>
      </c>
      <c r="C16" s="2">
        <v>59</v>
      </c>
      <c r="D16" s="3" t="str">
        <f t="shared" si="0"/>
        <v>FAIL</v>
      </c>
      <c r="E16" s="3" t="str">
        <f t="shared" si="1"/>
        <v>F</v>
      </c>
      <c r="F16" s="3" t="str">
        <f t="shared" si="2"/>
        <v>OUTLIER</v>
      </c>
      <c r="G16" s="3" t="str">
        <f t="shared" si="3"/>
        <v>NONE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Operators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N. Mirzayev</dc:creator>
  <cp:lastModifiedBy>Xanim D. Huseynova</cp:lastModifiedBy>
  <dcterms:created xsi:type="dcterms:W3CDTF">2026-01-10T17:45:35Z</dcterms:created>
  <dcterms:modified xsi:type="dcterms:W3CDTF">2026-07-03T11:55:07Z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2974f851-0eb5-4f12-b097-655edb4dc71d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2974f851-0eb5-4f12-b097-655edb4dc71d</vt:lpwstr>
  </property>
  <property fmtid="{D5CDD505-2E9C-101B-9397-08002B2CF9AE}" pid="6" name="UserId">
    <vt:lpwstr>Xanim D. Huseynova</vt:lpwstr>
  </property>
  <property fmtid="{D5CDD505-2E9C-101B-9397-08002B2CF9AE}" pid="7" name="TagDateTime">
    <vt:lpwstr>03-07-2026</vt:lpwstr>
  </property>
  <property fmtid="{D5CDD505-2E9C-101B-9397-08002B2CF9AE}" pid="8" name="GVData">
    <vt:lpwstr>eyJPUyI6IldpbmRvd3MiLCJkb2NJRCI6IjI5NzRmODUxLTBlYjUtNGYxMi1iMDk3LTY1NWVkYjRkYzcxZCIsImRvY1N0YXRlIjoie30iLCJwYXJlbnRMaW5lSWRzIjoiW10iLCJ3cml0dGVuS2V5cyI6IltcIkNsYXNzaWZpY2F0aW9uVGFnU2V0SWRcIixcIkNvbXBs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aWFuY2VUYWdTZXRJZFwiLFwiRmlsZUlkXCIsXCJndmRvY2lkXCIsXCJUYWdEYXRlVGltZVwiLFwiVXNlcklkXCJdIiwibm9PZkd2RGF0YUVudHJpZXMiOiIyIiwibGluZUlkIjoiNjBhZjMwNDgtMWVhMC00ZTg0LWIwODMtZTY2ZTc5ZDE0MmI1In0=</vt:lpwstr>
  </property>
  <property fmtid="{D5CDD505-2E9C-101B-9397-08002B2CF9AE}" pid="10" name="GVData1">
    <vt:lpwstr>(end)</vt:lpwstr>
  </property>
</Properties>
</file>