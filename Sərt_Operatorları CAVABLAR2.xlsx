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/>
  <xr:revisionPtr revIDLastSave="0" documentId="13_ncr:1_{EF2D3A9B-0517-46A7-AEA6-1C1C094826F2}" xr6:coauthVersionLast="47" xr6:coauthVersionMax="47" xr10:uidLastSave="{00000000-0000-0000-0000-000000000000}"/>
  <bookViews>
    <workbookView xWindow="3852" yWindow="0" windowWidth="19212" windowHeight="12336" activeTab="1" xr2:uid="{00000000-000D-0000-FFFF-FFFF00000000}"/>
  </bookViews>
  <sheets>
    <sheet name="Task 1" sheetId="1" r:id="rId1"/>
    <sheet name="Task 2" sheetId="2" r:id="rId2"/>
    <sheet name="Task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2" i="2"/>
  <c r="E4" i="1"/>
  <c r="E5" i="1"/>
  <c r="E3" i="1"/>
  <c r="D4" i="1"/>
  <c r="D5" i="1"/>
  <c r="D3" i="1"/>
</calcChain>
</file>

<file path=xl/sharedStrings.xml><?xml version="1.0" encoding="utf-8"?>
<sst xmlns="http://schemas.openxmlformats.org/spreadsheetml/2006/main" count="63" uniqueCount="60">
  <si>
    <t>Mustafayev Kamal</t>
  </si>
  <si>
    <t>Səfərova Arzu</t>
  </si>
  <si>
    <t>Kubişov Seymur</t>
  </si>
  <si>
    <t>Abdullayev Abdulla</t>
  </si>
  <si>
    <t>Fənn</t>
  </si>
  <si>
    <t>Ali riyaziyyat</t>
  </si>
  <si>
    <t>İnformatika</t>
  </si>
  <si>
    <t>Maliyyə</t>
  </si>
  <si>
    <t>Topladığı bal</t>
  </si>
  <si>
    <t>Balın hərf qarşılığı</t>
  </si>
  <si>
    <t>Stipendiya</t>
  </si>
  <si>
    <t>[0-50]</t>
  </si>
  <si>
    <t>[51-60]</t>
  </si>
  <si>
    <t>[61-70]</t>
  </si>
  <si>
    <t>[71-80]</t>
  </si>
  <si>
    <t>[81-90]</t>
  </si>
  <si>
    <t>[91-100]</t>
  </si>
  <si>
    <t>F</t>
  </si>
  <si>
    <t>E</t>
  </si>
  <si>
    <t>D</t>
  </si>
  <si>
    <t>C</t>
  </si>
  <si>
    <t>B</t>
  </si>
  <si>
    <t>A</t>
  </si>
  <si>
    <t>Tələbə stipendiya almır</t>
  </si>
  <si>
    <t>E,C,D</t>
  </si>
  <si>
    <t>Tələbə 60 AZN stipendiya alır</t>
  </si>
  <si>
    <t>Tələbə 90 AZN stipendiya alır</t>
  </si>
  <si>
    <t>Tələbə 120 AZN stipendiya alır</t>
  </si>
  <si>
    <t>İşçi</t>
  </si>
  <si>
    <t>Stajı</t>
  </si>
  <si>
    <t>Əmək haqqı</t>
  </si>
  <si>
    <t>Ələkbərov Aydın</t>
  </si>
  <si>
    <t>Əliyev Aydın</t>
  </si>
  <si>
    <t>Yaqubov Aydın</t>
  </si>
  <si>
    <t>Xəstəlik vərəqəsinə görə ödəniləcək məbləğ</t>
  </si>
  <si>
    <t>S.A.A</t>
  </si>
  <si>
    <t>Əliyeva Vüsalə Lətif qızı</t>
  </si>
  <si>
    <t>Səmədov Orxan Vəli oğlu</t>
  </si>
  <si>
    <t>Abdullayev Ömər Vüqar oğlu</t>
  </si>
  <si>
    <t>Ekonometrika</t>
  </si>
  <si>
    <t>Məmmədli Lalə İsa qızı</t>
  </si>
  <si>
    <t>Rüstəmov Vüsal</t>
  </si>
  <si>
    <t>Qeyri-neft sektoru</t>
  </si>
  <si>
    <t>Sektor</t>
  </si>
  <si>
    <t>Gross Maaş</t>
  </si>
  <si>
    <t>Gəlir vergisi</t>
  </si>
  <si>
    <t>Excel</t>
  </si>
  <si>
    <t>Tələbənin topladığı bal əsasında hərfli qiymət təyin edilməlidir:</t>
  </si>
  <si>
    <t>Tələbənin aldığı qiymətə uyğun stipendiya məbləği hesablanmalıdır</t>
  </si>
  <si>
    <r>
      <t>İşçinin aylıq gəliri və fəaliyyət göstərdiyi sektor (neft / qeyri-neft) əsasında </t>
    </r>
    <r>
      <rPr>
        <b/>
        <sz val="11"/>
        <color rgb="FF000000"/>
        <rFont val="Calibri"/>
        <family val="2"/>
        <scheme val="minor"/>
      </rPr>
      <t>gəlir vergisi</t>
    </r>
    <r>
      <rPr>
        <sz val="11"/>
        <color rgb="FF000000"/>
        <rFont val="Calibri"/>
        <family val="2"/>
        <scheme val="minor"/>
      </rPr>
      <t> avtomatik hesablanmalıdır. Hesablama aşağıdakı biznes qaydalarına uyğun aparılmalıdır.</t>
    </r>
  </si>
  <si>
    <t>1. Qeyri-neft Sektoru üzrə Vergi Qaydaları</t>
  </si>
  <si>
    <r>
      <t>İşçinin aylıq gəliri (</t>
    </r>
    <r>
      <rPr>
        <b/>
        <sz val="11"/>
        <color rgb="FF000000"/>
        <rFont val="Calibri"/>
        <family val="2"/>
        <scheme val="minor"/>
      </rPr>
      <t>X</t>
    </r>
    <r>
      <rPr>
        <sz val="11"/>
        <color rgb="FF000000"/>
        <rFont val="Calibri"/>
        <family val="2"/>
        <scheme val="minor"/>
      </rPr>
      <t>) aşağıdakı kimi vergiyə cəlb edilir:</t>
    </r>
  </si>
  <si>
    <r>
      <t>X ≤ 8000 AZN</t>
    </r>
    <r>
      <rPr>
        <sz val="11"/>
        <color rgb="FF000000"/>
        <rFont val="Calibri"/>
        <family val="2"/>
        <scheme val="minor"/>
      </rPr>
      <t> → Vergi </t>
    </r>
    <r>
      <rPr>
        <b/>
        <sz val="11"/>
        <color rgb="FF000000"/>
        <rFont val="Calibri"/>
        <family val="2"/>
        <scheme val="minor"/>
      </rPr>
      <t>0 AZN</t>
    </r>
  </si>
  <si>
    <r>
      <t>X &gt; 8000 AZN</t>
    </r>
    <r>
      <rPr>
        <sz val="11"/>
        <color rgb="FF000000"/>
        <rFont val="Calibri"/>
        <family val="2"/>
        <scheme val="minor"/>
      </rPr>
      <t> → Vergi = </t>
    </r>
    <r>
      <rPr>
        <b/>
        <sz val="11"/>
        <color rgb="FF000000"/>
        <rFont val="Calibri"/>
        <family val="2"/>
        <scheme val="minor"/>
      </rPr>
      <t>(X − 8000) × 14%</t>
    </r>
  </si>
  <si>
    <t>2. Neft Sektoru üzrə Vergi Qaydaları</t>
  </si>
  <si>
    <r>
      <t>İşçinin aylıq gəliri (</t>
    </r>
    <r>
      <rPr>
        <b/>
        <sz val="11"/>
        <color rgb="FF000000"/>
        <rFont val="Calibri"/>
        <family val="2"/>
        <scheme val="minor"/>
      </rPr>
      <t>X</t>
    </r>
    <r>
      <rPr>
        <sz val="11"/>
        <color rgb="FF000000"/>
        <rFont val="Calibri"/>
        <family val="2"/>
        <scheme val="minor"/>
      </rPr>
      <t>) üçün aşağıdakı mərhələli vergi sistemi tətbiq olunur:</t>
    </r>
  </si>
  <si>
    <r>
      <t>X ≤ 200 AZN</t>
    </r>
    <r>
      <rPr>
        <sz val="11"/>
        <color rgb="FF000000"/>
        <rFont val="Calibri"/>
        <family val="2"/>
        <scheme val="minor"/>
      </rPr>
      <t> → Vergi </t>
    </r>
    <r>
      <rPr>
        <b/>
        <sz val="11"/>
        <color rgb="FF000000"/>
        <rFont val="Calibri"/>
        <family val="2"/>
        <scheme val="minor"/>
      </rPr>
      <t>0 AZN</t>
    </r>
  </si>
  <si>
    <r>
      <t>200 &lt; X ≤ 2500 AZN</t>
    </r>
    <r>
      <rPr>
        <sz val="11"/>
        <color rgb="FF000000"/>
        <rFont val="Calibri"/>
        <family val="2"/>
        <scheme val="minor"/>
      </rPr>
      <t> → Vergi = </t>
    </r>
    <r>
      <rPr>
        <b/>
        <sz val="11"/>
        <color rgb="FF000000"/>
        <rFont val="Calibri"/>
        <family val="2"/>
        <scheme val="minor"/>
      </rPr>
      <t>(X − 200) × 14%</t>
    </r>
  </si>
  <si>
    <r>
      <t>X &gt; 2500 AZN</t>
    </r>
    <r>
      <rPr>
        <sz val="11"/>
        <color rgb="FF000000"/>
        <rFont val="Calibri"/>
        <family val="2"/>
        <scheme val="minor"/>
      </rPr>
      <t> →</t>
    </r>
  </si>
  <si>
    <r>
      <t>Vergi = </t>
    </r>
    <r>
      <rPr>
        <b/>
        <sz val="11"/>
        <color rgb="FF000000"/>
        <rFont val="Calibri"/>
        <family val="2"/>
        <scheme val="minor"/>
      </rPr>
      <t>(X − 2500) × 25% + (2500 − 200) × 14%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</si>
</sst>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man.&quot;_-;\-* #,##0.00\ &quot;man.&quot;_-;_-* &quot;-&quot;??\ &quot;man.&quot;_-;_-@_-"/>
    <numFmt numFmtId="165" formatCode="0&quot; il&quot;"/>
    <numFmt numFmtId="166" formatCode="0.00&quot; AZN&quot;"/>
    <numFmt numFmtId="167" formatCode="_-[$₼-42C]\ * #,##0.00_-;\-[$₼-42C]\ * #,##0.00_-;_-[$₼-42C]\ * &quot;-&quot;??_-;_-@_-"/>
    <numFmt numFmtId="168" formatCode="0\ &quot;il&quot;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0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Palatino Linotype"/>
      <family val="2"/>
      <charset val="186"/>
    </font>
    <font>
      <u/>
      <sz val="13"/>
      <color theme="10"/>
      <name val="Palatino Linotype"/>
      <family val="2"/>
      <charset val="186"/>
    </font>
    <font>
      <sz val="14"/>
      <color rgb="FF000000"/>
      <name val="-webkit-standard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0"/>
      <color rgb="FF14181F"/>
      <name val="Var(--font-mono)"/>
    </font>
    <font>
      <sz val="10"/>
      <color rgb="FF1212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274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/>
    <xf numFmtId="0" fontId="0" fillId="0" borderId="12" xfId="0" applyBorder="1"/>
    <xf numFmtId="0" fontId="3" fillId="2" borderId="0" xfId="0" applyFont="1" applyFill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167" fontId="4" fillId="3" borderId="14" xfId="0" applyNumberFormat="1" applyFont="1" applyFill="1" applyBorder="1" applyAlignment="1">
      <alignment horizontal="center" vertical="center"/>
    </xf>
    <xf numFmtId="168" fontId="4" fillId="3" borderId="14" xfId="0" applyNumberFormat="1" applyFont="1" applyFill="1" applyBorder="1" applyAlignment="1">
      <alignment horizontal="center" vertical="center"/>
    </xf>
    <xf numFmtId="167" fontId="4" fillId="3" borderId="15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8" fontId="4" fillId="3" borderId="0" xfId="0" applyNumberFormat="1" applyFont="1" applyFill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7" fontId="4" fillId="0" borderId="18" xfId="0" applyNumberFormat="1" applyFont="1" applyBorder="1" applyAlignment="1">
      <alignment horizontal="center" vertical="center"/>
    </xf>
    <xf numFmtId="168" fontId="4" fillId="0" borderId="18" xfId="0" applyNumberFormat="1" applyFont="1" applyBorder="1" applyAlignment="1">
      <alignment horizontal="center" vertic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4" xfId="0" applyFont="1" applyBorder="1"/>
    <xf numFmtId="0" fontId="4" fillId="0" borderId="1" xfId="0" applyFont="1" applyBorder="1"/>
    <xf numFmtId="0" fontId="4" fillId="3" borderId="4" xfId="0" applyFont="1" applyFill="1" applyBorder="1"/>
    <xf numFmtId="0" fontId="4" fillId="3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Border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</cellXfs>
  <cellStyles count="6">
    <cellStyle name="Currency" xfId="1" builtinId="4"/>
    <cellStyle name="Hyperlink 2" xfId="3" xr:uid="{19DE2A18-AC74-417B-9FCC-AE7BE688D35B}"/>
    <cellStyle name="Hyperlink 3" xfId="4" xr:uid="{0EE342D6-9CE1-4298-8CB3-1D250E2F0E12}"/>
    <cellStyle name="Normal" xfId="0" builtinId="0"/>
    <cellStyle name="Normal 2 2" xfId="2" xr:uid="{08FE9CCC-F03D-4617-A4EF-0198845BC99D}"/>
    <cellStyle name="Normal 2 2 2" xfId="5" xr:uid="{F611D748-E7A1-4A65-AA20-79D049F0A513}"/>
  </cellStyles>
  <dxfs count="0"/>
  <tableStyles count="0" defaultTableStyle="TableStyleMedium2" defaultPivotStyle="PivotStyleMedium9"/>
  <colors>
    <mruColors>
      <color rgb="FF0051F2"/>
      <color rgb="FFD9D9D9"/>
      <color rgb="FF2274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9</xdr:row>
      <xdr:rowOff>48846</xdr:rowOff>
    </xdr:from>
    <xdr:to>
      <xdr:col>4</xdr:col>
      <xdr:colOff>2207846</xdr:colOff>
      <xdr:row>13</xdr:row>
      <xdr:rowOff>48847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9CDB1A-7D12-206A-CF00-00C8B5A396BF}"/>
            </a:ext>
          </a:extLst>
        </xdr:cNvPr>
        <xdr:cNvSpPr txBox="1"/>
      </xdr:nvSpPr>
      <xdr:spPr>
        <a:xfrm>
          <a:off x="5031154" y="1856154"/>
          <a:ext cx="4024923" cy="7815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Mövcud dataset əsasında tələbələrin imtahan nəticələrinə uyğun olaraq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qiymət (Grade)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və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stipendiya məbləği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avtomatik formalaşdırılmalıdır. Bunun üçün aşağıdakı biznes qaydalarına əsasən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iki yeni sütun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yaradılacaq: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2650434</xdr:colOff>
      <xdr:row>19</xdr:row>
      <xdr:rowOff>66261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AF55AC-49D4-EC9D-BCF3-E491AB73ED49}"/>
            </a:ext>
          </a:extLst>
        </xdr:cNvPr>
        <xdr:cNvSpPr txBox="1"/>
      </xdr:nvSpPr>
      <xdr:spPr>
        <a:xfrm>
          <a:off x="0" y="2208696"/>
          <a:ext cx="5554869" cy="1568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Mövcud işçi məlumatları əsasında əmək stajına görə ödəniləcə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Xəstəlik vərəqəsinə görə ödəniləcək məbləğ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avtomatik hesablanmalıdır. Bunun üçün aşağıdakı biznes qaydalarına uyğun olaraq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yeni sütun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yaradılmalıdır.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Ödəniş Qaydaları (Biznes Şərtləri)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İşçinin ümumi əmək stajına əsasən ödəniş faizi aşağıdakı kimi müəyyən edilir: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– 8 il (8 il daxil)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→ Əmək haqqının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60%-i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ödənilir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ildən çox – 12 ilədək (12 il daxil)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→ Əmək haqqının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80%-i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ödənilir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 il və daha çox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→ Əmək haqqının 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100%-i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ödənilir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30" zoomScaleNormal="130" workbookViewId="0">
      <selection activeCell="E3" sqref="E3:E5"/>
    </sheetView>
  </sheetViews>
  <sheetFormatPr defaultColWidth="8.77734375" defaultRowHeight="14.4"/>
  <cols>
    <col min="1" max="1" width="62.109375" bestFit="1" customWidth="1"/>
    <col min="2" max="2" width="27.6640625" bestFit="1" customWidth="1"/>
    <col min="3" max="3" width="14.109375" bestFit="1" customWidth="1"/>
    <col min="4" max="4" width="19.6640625" bestFit="1" customWidth="1"/>
    <col min="5" max="5" width="34.44140625" customWidth="1"/>
  </cols>
  <sheetData>
    <row r="1" spans="1:5" ht="15.6" thickBot="1">
      <c r="A1" s="12" t="s">
        <v>35</v>
      </c>
      <c r="B1" s="12" t="s">
        <v>4</v>
      </c>
      <c r="C1" s="12" t="s">
        <v>8</v>
      </c>
      <c r="D1" s="12" t="s">
        <v>9</v>
      </c>
      <c r="E1" s="12" t="s">
        <v>10</v>
      </c>
    </row>
    <row r="2" spans="1:5" ht="16.2">
      <c r="A2" s="26" t="s">
        <v>36</v>
      </c>
      <c r="B2" s="27" t="s">
        <v>5</v>
      </c>
      <c r="C2" s="27" t="s">
        <v>46</v>
      </c>
      <c r="D2" s="42"/>
      <c r="E2" s="43"/>
    </row>
    <row r="3" spans="1:5" ht="16.2">
      <c r="A3" s="28" t="s">
        <v>37</v>
      </c>
      <c r="B3" s="29" t="s">
        <v>6</v>
      </c>
      <c r="C3" s="29">
        <v>99</v>
      </c>
      <c r="D3" s="42" t="str">
        <f>IF(C3&lt;=50,"F",IF(C3&lt;=60,"E",IF(C3&lt;=70,"D",IF(C3&lt;=80,"C",IF(C3&lt;=90,"B","A")))))</f>
        <v>A</v>
      </c>
      <c r="E3" s="43" t="str">
        <f>IF(D3="F", "Tələbə stipendiya almır", IF(OR(D3="E",D3="C",D3="D"),"Tələbə 60 manat stipendiya alır", IF(D3="B","Tələbə 90 manat stipendiya alır","Tələbə 120 manat stipendiya alır")))</f>
        <v>Tələbə 120 manat stipendiya alır</v>
      </c>
    </row>
    <row r="4" spans="1:5" ht="16.2">
      <c r="A4" s="30" t="s">
        <v>38</v>
      </c>
      <c r="B4" s="31" t="s">
        <v>39</v>
      </c>
      <c r="C4" s="31">
        <v>55</v>
      </c>
      <c r="D4" s="42" t="str">
        <f t="shared" ref="D4:D5" si="0">IF(C4&lt;=50,"F",IF(C4&lt;=60,"E",IF(C4&lt;=70,"D",IF(C4&lt;=80,"C",IF(C4&lt;=90,"B","A")))))</f>
        <v>E</v>
      </c>
      <c r="E4" s="43" t="str">
        <f t="shared" ref="E4:E5" si="1">IF(D4="F", "Tələbə stipendiya almır", IF(OR(D4="E",D4="C",D4="D"),"Tələbə 60 manat stipendiya alır", IF(D4="B","Tələbə 90 manat stipendiya alır","Tələbə 120 manat stipendiya alır")))</f>
        <v>Tələbə 60 manat stipendiya alır</v>
      </c>
    </row>
    <row r="5" spans="1:5" ht="16.8" thickBot="1">
      <c r="A5" s="32" t="s">
        <v>40</v>
      </c>
      <c r="B5" s="33" t="s">
        <v>7</v>
      </c>
      <c r="C5" s="33">
        <v>85</v>
      </c>
      <c r="D5" s="42" t="str">
        <f t="shared" si="0"/>
        <v>B</v>
      </c>
      <c r="E5" s="43" t="str">
        <f t="shared" si="1"/>
        <v>Tələbə 90 manat stipendiya alır</v>
      </c>
    </row>
    <row r="8" spans="1:5" ht="14.25" customHeight="1">
      <c r="A8" s="37" t="s">
        <v>47</v>
      </c>
    </row>
    <row r="9" spans="1:5">
      <c r="A9" s="4" t="s">
        <v>11</v>
      </c>
      <c r="B9" s="5" t="s">
        <v>17</v>
      </c>
    </row>
    <row r="10" spans="1:5">
      <c r="A10" s="6" t="s">
        <v>12</v>
      </c>
      <c r="B10" s="7" t="s">
        <v>18</v>
      </c>
    </row>
    <row r="11" spans="1:5">
      <c r="A11" s="8" t="s">
        <v>13</v>
      </c>
      <c r="B11" s="9" t="s">
        <v>19</v>
      </c>
    </row>
    <row r="12" spans="1:5">
      <c r="A12" s="6" t="s">
        <v>14</v>
      </c>
      <c r="B12" s="7" t="s">
        <v>20</v>
      </c>
    </row>
    <row r="13" spans="1:5">
      <c r="A13" s="8" t="s">
        <v>15</v>
      </c>
      <c r="B13" s="9" t="s">
        <v>21</v>
      </c>
    </row>
    <row r="14" spans="1:5">
      <c r="A14" s="10" t="s">
        <v>16</v>
      </c>
      <c r="B14" s="11" t="s">
        <v>22</v>
      </c>
    </row>
    <row r="15" spans="1:5">
      <c r="A15" s="38"/>
      <c r="B15" s="38"/>
    </row>
    <row r="16" spans="1:5" ht="17.399999999999999">
      <c r="A16" s="37" t="s">
        <v>48</v>
      </c>
    </row>
    <row r="17" spans="1:5">
      <c r="A17" s="4" t="s">
        <v>17</v>
      </c>
      <c r="B17" s="5" t="s">
        <v>23</v>
      </c>
    </row>
    <row r="18" spans="1:5">
      <c r="A18" s="6" t="s">
        <v>24</v>
      </c>
      <c r="B18" s="7" t="s">
        <v>25</v>
      </c>
    </row>
    <row r="19" spans="1:5">
      <c r="A19" s="8" t="s">
        <v>21</v>
      </c>
      <c r="B19" s="9" t="s">
        <v>26</v>
      </c>
    </row>
    <row r="20" spans="1:5">
      <c r="A20" s="10" t="s">
        <v>22</v>
      </c>
      <c r="B20" s="11" t="s">
        <v>27</v>
      </c>
    </row>
    <row r="21" spans="1:5">
      <c r="E21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zoomScale="115" zoomScaleNormal="115" workbookViewId="0">
      <selection activeCell="D2" sqref="D2"/>
    </sheetView>
  </sheetViews>
  <sheetFormatPr defaultColWidth="8.77734375" defaultRowHeight="14.4"/>
  <cols>
    <col min="1" max="1" width="22.6640625" bestFit="1" customWidth="1"/>
    <col min="2" max="2" width="15.44140625" bestFit="1" customWidth="1"/>
    <col min="3" max="3" width="51.77734375" customWidth="1"/>
    <col min="4" max="4" width="52.33203125" bestFit="1" customWidth="1"/>
  </cols>
  <sheetData>
    <row r="1" spans="1:4" ht="15.6" thickBot="1">
      <c r="A1" s="12" t="s">
        <v>28</v>
      </c>
      <c r="B1" s="12" t="s">
        <v>30</v>
      </c>
      <c r="C1" s="12" t="s">
        <v>29</v>
      </c>
      <c r="D1" s="12" t="s">
        <v>34</v>
      </c>
    </row>
    <row r="2" spans="1:4" ht="16.2" thickBot="1">
      <c r="A2" s="13" t="s">
        <v>0</v>
      </c>
      <c r="B2" s="14">
        <v>2000</v>
      </c>
      <c r="C2" s="15">
        <v>2</v>
      </c>
      <c r="D2" s="16">
        <f>IF(C2&lt;=8, B2*60%,IF(C2&lt;=12,B2*80%,IF(C2&gt;12,B2*100%)))</f>
        <v>1200</v>
      </c>
    </row>
    <row r="3" spans="1:4" ht="16.2" thickBot="1">
      <c r="A3" s="17" t="s">
        <v>1</v>
      </c>
      <c r="B3" s="18">
        <v>2258</v>
      </c>
      <c r="C3" s="19">
        <v>8</v>
      </c>
      <c r="D3" s="16">
        <f t="shared" ref="D3:D9" si="0">IF(C3&lt;=8, B3*60%,IF(C3&lt;=12,B3*80%,IF(C3&gt;12,B3*100%)))</f>
        <v>1354.8</v>
      </c>
    </row>
    <row r="4" spans="1:4" ht="16.2" thickBot="1">
      <c r="A4" s="20" t="s">
        <v>2</v>
      </c>
      <c r="B4" s="21">
        <v>669</v>
      </c>
      <c r="C4" s="22">
        <v>13</v>
      </c>
      <c r="D4" s="16">
        <f t="shared" si="0"/>
        <v>669</v>
      </c>
    </row>
    <row r="5" spans="1:4" ht="16.2" thickBot="1">
      <c r="A5" s="17" t="s">
        <v>3</v>
      </c>
      <c r="B5" s="18">
        <v>980</v>
      </c>
      <c r="C5" s="19">
        <v>10</v>
      </c>
      <c r="D5" s="16">
        <f t="shared" si="0"/>
        <v>784</v>
      </c>
    </row>
    <row r="6" spans="1:4" ht="16.2" thickBot="1">
      <c r="A6" s="20" t="s">
        <v>31</v>
      </c>
      <c r="B6" s="21">
        <v>2034</v>
      </c>
      <c r="C6" s="22">
        <v>3</v>
      </c>
      <c r="D6" s="16">
        <f t="shared" si="0"/>
        <v>1220.3999999999999</v>
      </c>
    </row>
    <row r="7" spans="1:4" ht="16.2" thickBot="1">
      <c r="A7" s="17" t="s">
        <v>32</v>
      </c>
      <c r="B7" s="18">
        <v>2285</v>
      </c>
      <c r="C7" s="19">
        <v>4</v>
      </c>
      <c r="D7" s="16">
        <f t="shared" si="0"/>
        <v>1371</v>
      </c>
    </row>
    <row r="8" spans="1:4" ht="16.2" thickBot="1">
      <c r="A8" s="20" t="s">
        <v>41</v>
      </c>
      <c r="B8" s="21">
        <v>1022</v>
      </c>
      <c r="C8" s="22">
        <v>11</v>
      </c>
      <c r="D8" s="16">
        <f t="shared" si="0"/>
        <v>817.6</v>
      </c>
    </row>
    <row r="9" spans="1:4" ht="16.2" thickBot="1">
      <c r="A9" s="23" t="s">
        <v>33</v>
      </c>
      <c r="B9" s="24">
        <v>1708</v>
      </c>
      <c r="C9" s="25">
        <v>20</v>
      </c>
      <c r="D9" s="16">
        <f t="shared" si="0"/>
        <v>1708</v>
      </c>
    </row>
    <row r="10" spans="1:4">
      <c r="A10" s="1"/>
      <c r="B10" s="2"/>
      <c r="C10" s="3"/>
      <c r="D10" s="1"/>
    </row>
    <row r="11" spans="1:4" ht="15" customHeight="1"/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F635-D2F6-47C8-8715-5C86BE0F775A}">
  <dimension ref="A2:C29"/>
  <sheetViews>
    <sheetView zoomScale="130" zoomScaleNormal="130" workbookViewId="0">
      <selection activeCell="B15" sqref="B15"/>
    </sheetView>
  </sheetViews>
  <sheetFormatPr defaultColWidth="8.77734375" defaultRowHeight="14.4"/>
  <cols>
    <col min="1" max="1" width="18.33203125" bestFit="1" customWidth="1"/>
    <col min="2" max="2" width="135.33203125" bestFit="1" customWidth="1"/>
    <col min="3" max="3" width="12.6640625" bestFit="1" customWidth="1"/>
    <col min="4" max="4" width="22" bestFit="1" customWidth="1"/>
    <col min="5" max="5" width="14.44140625" bestFit="1" customWidth="1"/>
    <col min="6" max="6" width="15.109375" bestFit="1" customWidth="1"/>
  </cols>
  <sheetData>
    <row r="2" spans="1:3" ht="18">
      <c r="A2" s="34" t="s">
        <v>43</v>
      </c>
      <c r="B2" s="34" t="s">
        <v>44</v>
      </c>
      <c r="C2" s="34" t="s">
        <v>45</v>
      </c>
    </row>
    <row r="3" spans="1:3" ht="18">
      <c r="A3" s="35" t="s">
        <v>42</v>
      </c>
      <c r="B3" s="35">
        <v>8000</v>
      </c>
      <c r="C3" s="36"/>
    </row>
    <row r="6" spans="1:3">
      <c r="B6" s="39" t="s">
        <v>49</v>
      </c>
    </row>
    <row r="10" spans="1:3" ht="18">
      <c r="B10" s="40" t="s">
        <v>50</v>
      </c>
    </row>
    <row r="12" spans="1:3">
      <c r="B12" s="39" t="s">
        <v>51</v>
      </c>
    </row>
    <row r="14" spans="1:3">
      <c r="B14" s="41" t="s">
        <v>52</v>
      </c>
    </row>
    <row r="16" spans="1:3">
      <c r="B16" s="41" t="s">
        <v>53</v>
      </c>
    </row>
    <row r="20" spans="2:2" ht="18">
      <c r="B20" s="40" t="s">
        <v>54</v>
      </c>
    </row>
    <row r="22" spans="2:2">
      <c r="B22" s="39" t="s">
        <v>55</v>
      </c>
    </row>
    <row r="24" spans="2:2">
      <c r="B24" s="41" t="s">
        <v>56</v>
      </c>
    </row>
    <row r="26" spans="2:2">
      <c r="B26" s="41" t="s">
        <v>57</v>
      </c>
    </row>
    <row r="28" spans="2:2">
      <c r="B28" s="41" t="s">
        <v>58</v>
      </c>
    </row>
    <row r="29" spans="2:2">
      <c r="B29" s="39" t="s">
        <v>59</v>
      </c>
    </row>
  </sheetData>
  <conditionalFormatting sqref="A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{AA5F64F8-F363-4F3D-B175-5E1B6F4FDE3B}</x14:id>
        </ext>
      </extLst>
    </cfRule>
  </conditionalFormatting>
  <dataValidations count="1">
    <dataValidation type="list" allowBlank="1" showInputMessage="1" showErrorMessage="1" sqref="A3" xr:uid="{EBFE3FC6-F0F5-40D0-9F44-FD6AF88D1E08}">
      <formula1>"Qeyri-neft sektoru, Neft sektoru"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5F64F8-F363-4F3D-B175-5E1B6F4FDE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1c783831-0708-4342-9970-da880a88d6e9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1c783831-0708-4342-9970-da880a88d6e9</vt:lpwstr>
  </property>
  <property fmtid="{D5CDD505-2E9C-101B-9397-08002B2CF9AE}" pid="6" name="UserId">
    <vt:lpwstr>Xanim D. Huseynova</vt:lpwstr>
  </property>
  <property fmtid="{D5CDD505-2E9C-101B-9397-08002B2CF9AE}" pid="7" name="TagDateTime">
    <vt:lpwstr>03-07-2026</vt:lpwstr>
  </property>
  <property fmtid="{D5CDD505-2E9C-101B-9397-08002B2CF9AE}" pid="8" name="GVData">
    <vt:lpwstr>eyJPUyI6IldpbmRvd3MiLCJkb2NJRCI6IjFjNzgzODMxLTA3MDgtNDM0Mi05OTcwLWRhODgwYTg4ZDZlOSIsImRvY1N0YXRlIjoie30iLCJwYXJlbnRMaW5lSWRzIjoiW10iLCJ3cml0dGVuS2V5cyI6IltcIkNsYXNzaWZpY2F0aW9uVGFnU2V0SWRcIixcIkNvbXBs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aWFuY2VUYWdTZXRJZFwiLFwiRmlsZUlkXCIsXCJndmRvY2lkXCIsXCJUYWdEYXRlVGltZVwiLFwiVXNlcklkXCJdIiwibm9PZkd2RGF0YUVudHJpZXMiOiIyIiwibGluZUlkIjoiNWMxYWVlOTItMjk3ZC00NjJhLWE4NjgtN2ZkOThhMGMzNDUwIn0=</vt:lpwstr>
  </property>
  <property fmtid="{D5CDD505-2E9C-101B-9397-08002B2CF9AE}" pid="10" name="GVData1">
    <vt:lpwstr>(end)</vt:lpwstr>
  </property>
</Properties>
</file>